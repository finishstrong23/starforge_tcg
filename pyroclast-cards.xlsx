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oclast Cards" sheetId="1" state="visible" r:id="rId3"/>
    <sheet name="Summary" sheetId="2" state="visible" r:id="rId4"/>
    <sheet name="Starter Deck" sheetId="3" state="visible" r:id="rId5"/>
    <sheet name="Combo Chai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<sst xmlns="http://schemas.openxmlformats.org/spreadsheetml/2006/main" count="431" uniqueCount="278">
  <si>
    <t xml:space="preserve">ID</t>
  </si>
  <si>
    <t xml:space="preserve">Name</t>
  </si>
  <si>
    <t xml:space="preserve">Rarity</t>
  </si>
  <si>
    <t xml:space="preserve">Type</t>
  </si>
  <si>
    <t xml:space="preserve">Cost</t>
  </si>
  <si>
    <t xml:space="preserve">Effect</t>
  </si>
  <si>
    <t xml:space="preserve">Archetype</t>
  </si>
  <si>
    <t xml:space="preserve">Evolution Trigger</t>
  </si>
  <si>
    <t xml:space="preserve">Evolves Into</t>
  </si>
  <si>
    <t xml:space="preserve">Evolved Effect</t>
  </si>
  <si>
    <t xml:space="preserve">P-001</t>
  </si>
  <si>
    <t xml:space="preserve">Cinder Strike</t>
  </si>
  <si>
    <t xml:space="preserve">Common</t>
  </si>
  <si>
    <t xml:space="preserve">Attack</t>
  </si>
  <si>
    <t xml:space="preserve">Deal 6 damage.</t>
  </si>
  <si>
    <t xml:space="preserve">Basic</t>
  </si>
  <si>
    <t xml:space="preserve">Played 10 times</t>
  </si>
  <si>
    <t xml:space="preserve">Blazing Strike</t>
  </si>
  <si>
    <t xml:space="preserve">Deal 9 damage.</t>
  </si>
  <si>
    <t xml:space="preserve">P-002</t>
  </si>
  <si>
    <t xml:space="preserve">Scale Guard</t>
  </si>
  <si>
    <t xml:space="preserve">Skill</t>
  </si>
  <si>
    <t xml:space="preserve">Gain 5 Block.</t>
  </si>
  <si>
    <t xml:space="preserve">Played 8 times</t>
  </si>
  <si>
    <t xml:space="preserve">Ember Ward</t>
  </si>
  <si>
    <t xml:space="preserve">Gain 7 Block and 1 Heat.</t>
  </si>
  <si>
    <t xml:space="preserve">P-003</t>
  </si>
  <si>
    <t xml:space="preserve">Kindle</t>
  </si>
  <si>
    <t xml:space="preserve">Gain 3 Heat.</t>
  </si>
  <si>
    <t xml:space="preserve">Heat Snowball</t>
  </si>
  <si>
    <t xml:space="preserve">Played 5 times</t>
  </si>
  <si>
    <t xml:space="preserve">Stoke</t>
  </si>
  <si>
    <t xml:space="preserve">Gain 4 Heat. Next attack this turn deals +2 damage.</t>
  </si>
  <si>
    <t xml:space="preserve">P-004</t>
  </si>
  <si>
    <t xml:space="preserve">Flame Lash</t>
  </si>
  <si>
    <t xml:space="preserve">Deal 8 damage. If Heat &gt;= 3, apply Ignite 2.</t>
  </si>
  <si>
    <t xml:space="preserve">Ignite Stack</t>
  </si>
  <si>
    <t xml:space="preserve">Played 6 times at Heat &gt;= 5</t>
  </si>
  <si>
    <t xml:space="preserve">Scorching Lash</t>
  </si>
  <si>
    <t xml:space="preserve">Deal 10 damage. Apply Ignite 3.</t>
  </si>
  <si>
    <t xml:space="preserve">P-005</t>
  </si>
  <si>
    <t xml:space="preserve">Ember Volley</t>
  </si>
  <si>
    <t xml:space="preserve">Deal 3 damage 3 times.</t>
  </si>
  <si>
    <t xml:space="preserve">Firestorm Volley</t>
  </si>
  <si>
    <t xml:space="preserve">Deal 4 damage 3 times.</t>
  </si>
  <si>
    <t xml:space="preserve">P-006</t>
  </si>
  <si>
    <t xml:space="preserve">Ash Cloud</t>
  </si>
  <si>
    <t xml:space="preserve">Apply 2 Weak to all enemies.</t>
  </si>
  <si>
    <t xml:space="preserve">Support</t>
  </si>
  <si>
    <t xml:space="preserve">Held 3 turns then played</t>
  </si>
  <si>
    <t xml:space="preserve">Smokescreen</t>
  </si>
  <si>
    <t xml:space="preserve">Apply 2 Weak to all enemies. Gain 5 Block.</t>
  </si>
  <si>
    <t xml:space="preserve">P-007</t>
  </si>
  <si>
    <t xml:space="preserve">Oil Flask</t>
  </si>
  <si>
    <t xml:space="preserve">Your next Attack applies Ignite 2.</t>
  </si>
  <si>
    <t xml:space="preserve">Played 6 times</t>
  </si>
  <si>
    <t xml:space="preserve">Naphtha Flask</t>
  </si>
  <si>
    <t xml:space="preserve">Your next 2 Attacks apply Ignite 2.</t>
  </si>
  <si>
    <t xml:space="preserve">P-008</t>
  </si>
  <si>
    <t xml:space="preserve">Magma Fist</t>
  </si>
  <si>
    <t xml:space="preserve">Deal 13 damage.</t>
  </si>
  <si>
    <t xml:space="preserve">Volcanic Fist</t>
  </si>
  <si>
    <t xml:space="preserve">Deal 16 damage. Apply Ignite 2.</t>
  </si>
  <si>
    <t xml:space="preserve">P-009</t>
  </si>
  <si>
    <t xml:space="preserve">Heat Shimmer</t>
  </si>
  <si>
    <t xml:space="preserve">Gain 4 Block and 1 Heat.</t>
  </si>
  <si>
    <t xml:space="preserve">Mirage</t>
  </si>
  <si>
    <t xml:space="preserve">Gain 6 Block and 2 Heat.</t>
  </si>
  <si>
    <t xml:space="preserve">P-010</t>
  </si>
  <si>
    <t xml:space="preserve">Blazing Charge</t>
  </si>
  <si>
    <t xml:space="preserve">Deal 4 damage + 4 per Heat spent (up to 5 Heat).</t>
  </si>
  <si>
    <t xml:space="preserve">Played 5 times spending Heat</t>
  </si>
  <si>
    <t xml:space="preserve">Inferno Charge</t>
  </si>
  <si>
    <t xml:space="preserve">Deal 4 damage + 6 per Heat spent (up to 5 Heat).</t>
  </si>
  <si>
    <t xml:space="preserve">P-011</t>
  </si>
  <si>
    <t xml:space="preserve">Cauterize</t>
  </si>
  <si>
    <t xml:space="preserve">Heal 4 HP. Take 2 damage.</t>
  </si>
  <si>
    <t xml:space="preserve">Self-Burn</t>
  </si>
  <si>
    <t xml:space="preserve">Sear Shut</t>
  </si>
  <si>
    <t xml:space="preserve">Heal 6 HP. Take 1 damage.</t>
  </si>
  <si>
    <t xml:space="preserve">P-012</t>
  </si>
  <si>
    <t xml:space="preserve">Spark</t>
  </si>
  <si>
    <t xml:space="preserve">Gain 1 Heat. Draw 1 card.</t>
  </si>
  <si>
    <t xml:space="preserve">Played 6 times at Heat &gt;= 4</t>
  </si>
  <si>
    <t xml:space="preserve">Flare</t>
  </si>
  <si>
    <t xml:space="preserve">Gain 2 Heat. Draw 1 card.</t>
  </si>
  <si>
    <t xml:space="preserve">P-013</t>
  </si>
  <si>
    <t xml:space="preserve">Hot Wind</t>
  </si>
  <si>
    <t xml:space="preserve">Deal 2 damage to all enemies. Gain 1 Heat.</t>
  </si>
  <si>
    <t xml:space="preserve">Scirocco</t>
  </si>
  <si>
    <t xml:space="preserve">Deal 3 damage to all enemies. Gain 2 Heat.</t>
  </si>
  <si>
    <t xml:space="preserve">P-014</t>
  </si>
  <si>
    <t xml:space="preserve">Pyre Lance</t>
  </si>
  <si>
    <t xml:space="preserve">Deal 14 damage. Consume all Heat.</t>
  </si>
  <si>
    <t xml:space="preserve">Sunspear</t>
  </si>
  <si>
    <t xml:space="preserve">Deal 14 damage + damage equal to Heat consumed.</t>
  </si>
  <si>
    <t xml:space="preserve">P-015</t>
  </si>
  <si>
    <t xml:space="preserve">Rekindle</t>
  </si>
  <si>
    <t xml:space="preserve">Return a Pyroclast card from your discard pile to your hand.</t>
  </si>
  <si>
    <t xml:space="preserve">Eternal Flame</t>
  </si>
  <si>
    <t xml:space="preserve">Return any card from your discard pile to your hand.</t>
  </si>
  <si>
    <t xml:space="preserve">P-016</t>
  </si>
  <si>
    <t xml:space="preserve">Glowing Resolve</t>
  </si>
  <si>
    <t xml:space="preserve">Gain 3 Block per Heat (up to 4 Heat counted).</t>
  </si>
  <si>
    <t xml:space="preserve">Armored Core</t>
  </si>
  <si>
    <t xml:space="preserve">Gain 4 Block per Heat (up to 4 Heat counted).</t>
  </si>
  <si>
    <t xml:space="preserve">P-017</t>
  </si>
  <si>
    <t xml:space="preserve">Dragonbreath</t>
  </si>
  <si>
    <t xml:space="preserve">Uncommon</t>
  </si>
  <si>
    <t xml:space="preserve">Deal 7 damage to all enemies.</t>
  </si>
  <si>
    <t xml:space="preserve">Wyrmbreath</t>
  </si>
  <si>
    <t xml:space="preserve">Deal 9 damage to all enemies. Apply Ignite 1 to all.</t>
  </si>
  <si>
    <t xml:space="preserve">P-018</t>
  </si>
  <si>
    <t xml:space="preserve">Forge Heart</t>
  </si>
  <si>
    <t xml:space="preserve">Power</t>
  </si>
  <si>
    <t xml:space="preserve">Whenever you gain Heat, gain 1 Block.</t>
  </si>
  <si>
    <t xml:space="preserve">Overheat Tank</t>
  </si>
  <si>
    <t xml:space="preserve">Triggered 20 times</t>
  </si>
  <si>
    <t xml:space="preserve">Forge Soul</t>
  </si>
  <si>
    <t xml:space="preserve">Whenever you gain Heat, gain 1 Block. Gain 1 Strength at Heat 10+.</t>
  </si>
  <si>
    <t xml:space="preserve">P-019</t>
  </si>
  <si>
    <t xml:space="preserve">Molten Skin</t>
  </si>
  <si>
    <t xml:space="preserve">At end of turn, if you have Block, gain 2 Heat.</t>
  </si>
  <si>
    <t xml:space="preserve">Triggered 15 times</t>
  </si>
  <si>
    <t xml:space="preserve">Obsidian Skin</t>
  </si>
  <si>
    <t xml:space="preserve">At end of turn, if you have Block, gain 2 Heat. Keep 5 Block next turn.</t>
  </si>
  <si>
    <t xml:space="preserve">P-020</t>
  </si>
  <si>
    <t xml:space="preserve">Overclock</t>
  </si>
  <si>
    <t xml:space="preserve">Draw 2 cards. Apply Ignite 2 to yourself.</t>
  </si>
  <si>
    <t xml:space="preserve">Burnout Drive</t>
  </si>
  <si>
    <t xml:space="preserve">Draw 3 cards. Apply Ignite 2 to yourself.</t>
  </si>
  <si>
    <t xml:space="preserve">P-021</t>
  </si>
  <si>
    <t xml:space="preserve">Pyroclasm</t>
  </si>
  <si>
    <t xml:space="preserve">Deal 9 damage to all enemies. Spend 5 Heat for +6 damage to each.</t>
  </si>
  <si>
    <t xml:space="preserve">Played 4 times spending Heat</t>
  </si>
  <si>
    <t xml:space="preserve">Cataclysm</t>
  </si>
  <si>
    <t xml:space="preserve">Deal 11 damage to all enemies. Spend 5 Heat for +8 damage to each.</t>
  </si>
  <si>
    <t xml:space="preserve">P-022</t>
  </si>
  <si>
    <t xml:space="preserve">Soot Burst</t>
  </si>
  <si>
    <t xml:space="preserve">Apply Vulnerable 1 to all enemies.</t>
  </si>
  <si>
    <t xml:space="preserve">Ashstorm</t>
  </si>
  <si>
    <t xml:space="preserve">Apply Vulnerable 2 to all enemies.</t>
  </si>
  <si>
    <t xml:space="preserve">P-023</t>
  </si>
  <si>
    <t xml:space="preserve">Meltdown</t>
  </si>
  <si>
    <t xml:space="preserve">Deal damage equal to your current Heat x 3.</t>
  </si>
  <si>
    <t xml:space="preserve">Played 3 times at Heat &gt;= 8</t>
  </si>
  <si>
    <t xml:space="preserve">Reactor Breach</t>
  </si>
  <si>
    <t xml:space="preserve">Deal damage equal to your current Heat x 4.</t>
  </si>
  <si>
    <t xml:space="preserve">P-024</t>
  </si>
  <si>
    <t xml:space="preserve">Glass Cannon</t>
  </si>
  <si>
    <t xml:space="preserve">Your next Attack deals +12 damage. Lose 5 HP.</t>
  </si>
  <si>
    <t xml:space="preserve">Flame Cannon</t>
  </si>
  <si>
    <t xml:space="preserve">Your next Attack deals +15 damage. Lose 3 HP.</t>
  </si>
  <si>
    <t xml:space="preserve">P-025</t>
  </si>
  <si>
    <t xml:space="preserve">Combustion</t>
  </si>
  <si>
    <t xml:space="preserve">Deal 10 damage. If target has Ignite, trigger it immediately.</t>
  </si>
  <si>
    <t xml:space="preserve">Played 5 times triggering Ignite</t>
  </si>
  <si>
    <t xml:space="preserve">Chain Combustion</t>
  </si>
  <si>
    <t xml:space="preserve">Deal 10 damage. If target has Ignite, trigger it and spread remaining to all enemies.</t>
  </si>
  <si>
    <t xml:space="preserve">P-026</t>
  </si>
  <si>
    <t xml:space="preserve">Ash Dancer</t>
  </si>
  <si>
    <t xml:space="preserve">Deal 7 damage. If this kills the target, draw 2 cards.</t>
  </si>
  <si>
    <t xml:space="preserve">Killed 3 targets with this</t>
  </si>
  <si>
    <t xml:space="preserve">Ember Dancer</t>
  </si>
  <si>
    <t xml:space="preserve">Deal 9 damage. If this kills the target, draw 2 cards.</t>
  </si>
  <si>
    <t xml:space="preserve">P-027</t>
  </si>
  <si>
    <t xml:space="preserve">Fuel the Flames</t>
  </si>
  <si>
    <t xml:space="preserve">Exhaust a card from hand. Gain 3 Heat per its cost.</t>
  </si>
  <si>
    <t xml:space="preserve">Pyre Tribute</t>
  </si>
  <si>
    <t xml:space="preserve">Exhaust a card from hand. Gain 4 Heat per its cost.</t>
  </si>
  <si>
    <t xml:space="preserve">P-028</t>
  </si>
  <si>
    <t xml:space="preserve">Searing Resolve</t>
  </si>
  <si>
    <t xml:space="preserve">Gain 8 Block. If at full HP, gain 3 Heat.</t>
  </si>
  <si>
    <t xml:space="preserve">Played 5 times at full HP</t>
  </si>
  <si>
    <t xml:space="preserve">Unbreaking</t>
  </si>
  <si>
    <t xml:space="preserve">Gain 10 Block and 3 Heat.</t>
  </si>
  <si>
    <t xml:space="preserve">P-029</t>
  </si>
  <si>
    <t xml:space="preserve">Incinerator</t>
  </si>
  <si>
    <t xml:space="preserve">Deal 9 damage. Exhaust. If this kills, add a copy to hand.</t>
  </si>
  <si>
    <t xml:space="preserve">Triggered kill effect 3 times</t>
  </si>
  <si>
    <t xml:space="preserve">Propagator</t>
  </si>
  <si>
    <t xml:space="preserve">Deal 9 damage. Exhaust. If this kills, add 2 copies to hand.</t>
  </si>
  <si>
    <t xml:space="preserve">P-030</t>
  </si>
  <si>
    <t xml:space="preserve">Spirit of Fire</t>
  </si>
  <si>
    <t xml:space="preserve">At turn start, gain 2 Heat.</t>
  </si>
  <si>
    <t xml:space="preserve">Survived 5 combats with this</t>
  </si>
  <si>
    <t xml:space="preserve">Phoenix Spirit</t>
  </si>
  <si>
    <t xml:space="preserve">At turn start, gain 3 Heat. Once per combat, survive lethal at 10 HP.</t>
  </si>
  <si>
    <t xml:space="preserve">P-031</t>
  </si>
  <si>
    <t xml:space="preserve">Sunfire Blade</t>
  </si>
  <si>
    <t xml:space="preserve">Rare</t>
  </si>
  <si>
    <t xml:space="preserve">Deal 18 damage and apply Ignite 4.</t>
  </si>
  <si>
    <t xml:space="preserve">Played in 3 boss fights</t>
  </si>
  <si>
    <t xml:space="preserve">Solar Edge</t>
  </si>
  <si>
    <t xml:space="preserve">Deal 22 damage and apply Ignite 5.</t>
  </si>
  <si>
    <t xml:space="preserve">P-032</t>
  </si>
  <si>
    <t xml:space="preserve">Volcano</t>
  </si>
  <si>
    <t xml:space="preserve">At start of each turn, deal 4 damage to all enemies.</t>
  </si>
  <si>
    <t xml:space="preserve">Triggered 10 times</t>
  </si>
  <si>
    <t xml:space="preserve">Caldera</t>
  </si>
  <si>
    <t xml:space="preserve">At start of each turn, deal 6 damage to all enemies.</t>
  </si>
  <si>
    <t xml:space="preserve">P-033</t>
  </si>
  <si>
    <t xml:space="preserve">Immolate</t>
  </si>
  <si>
    <t xml:space="preserve">Deal 22 damage. Shuffle 2 Burn cards into your discard pile.</t>
  </si>
  <si>
    <t xml:space="preserve">Played 4 times</t>
  </si>
  <si>
    <t xml:space="preserve">Self-Immolate</t>
  </si>
  <si>
    <t xml:space="preserve">Deal 28 damage. Shuffle 2 Burn cards (dealing half damage) into discard.</t>
  </si>
  <si>
    <t xml:space="preserve">P-034</t>
  </si>
  <si>
    <t xml:space="preserve">Phoenix Form</t>
  </si>
  <si>
    <t xml:space="preserve">Once per combat, when reduced to 0 HP, restore 15 HP and gain 3 Heat.</t>
  </si>
  <si>
    <t xml:space="preserve">Revived at least once</t>
  </si>
  <si>
    <t xml:space="preserve">Eternal Phoenix</t>
  </si>
  <si>
    <t xml:space="preserve">Once per combat, when reduced to 0 HP, restore 25 HP and gain 5 Heat.</t>
  </si>
  <si>
    <t xml:space="preserve">P-035</t>
  </si>
  <si>
    <t xml:space="preserve">Ring of Fire</t>
  </si>
  <si>
    <t xml:space="preserve">Whenever attacked, deal 2 damage back. Deal 4 if Heat &gt;= 5.</t>
  </si>
  <si>
    <t xml:space="preserve">Ring of Ashes</t>
  </si>
  <si>
    <t xml:space="preserve">Whenever attacked, deal 4 damage back. Deal 6 if Heat &gt;= 5.</t>
  </si>
  <si>
    <t xml:space="preserve">P-036</t>
  </si>
  <si>
    <t xml:space="preserve">Sun's Fury</t>
  </si>
  <si>
    <t xml:space="preserve">Deal 28 damage. If Heat &gt;= 8, deal 14 more damage.</t>
  </si>
  <si>
    <t xml:space="preserve">Played 3 times with Heat &gt;= 8</t>
  </si>
  <si>
    <t xml:space="preserve">Solar Flare</t>
  </si>
  <si>
    <t xml:space="preserve">Deal 32 damage. If Heat &gt;= 6, deal 14 more damage.</t>
  </si>
  <si>
    <t xml:space="preserve">P-037</t>
  </si>
  <si>
    <t xml:space="preserve">Forge Master</t>
  </si>
  <si>
    <t xml:space="preserve">Every 3 Heat spent this combat, draw 1 card.</t>
  </si>
  <si>
    <t xml:space="preserve">Drew 10 cards via this effect</t>
  </si>
  <si>
    <t xml:space="preserve">Grand Forgemaster</t>
  </si>
  <si>
    <t xml:space="preserve">Every 2 Heat spent this combat, draw 1 card.</t>
  </si>
  <si>
    <t xml:space="preserve">P-038</t>
  </si>
  <si>
    <t xml:space="preserve">Everburn</t>
  </si>
  <si>
    <t xml:space="preserve">Combat starts with 5 Heat. Gain 1 Heat at turn start.</t>
  </si>
  <si>
    <t xml:space="preserve">Wildfire</t>
  </si>
  <si>
    <t xml:space="preserve">Combat starts with 8 Heat. Gain 2 Heat at turn start.</t>
  </si>
  <si>
    <t xml:space="preserve">P-039</t>
  </si>
  <si>
    <t xml:space="preserve">Magma Tide</t>
  </si>
  <si>
    <t xml:space="preserve">Deal damage equal to Heat to 3 random enemies.</t>
  </si>
  <si>
    <t xml:space="preserve">Lava Tide</t>
  </si>
  <si>
    <t xml:space="preserve">Deal damage equal to Heat to 4 chosen enemies.</t>
  </si>
  <si>
    <t xml:space="preserve">P-040</t>
  </si>
  <si>
    <t xml:space="preserve">Dragon's Roar</t>
  </si>
  <si>
    <t xml:space="preserve">Apply Vulnerable 3 to all enemies. Gain 4 Heat.</t>
  </si>
  <si>
    <t xml:space="preserve">Tyrant's Roar</t>
  </si>
  <si>
    <t xml:space="preserve">Apply Vulnerable 4 and Weak 2 to all enemies. Gain 5 Heat.</t>
  </si>
  <si>
    <t xml:space="preserve">Pyroclast Card Pool — Summary</t>
  </si>
  <si>
    <t xml:space="preserve">Count</t>
  </si>
  <si>
    <t xml:space="preserve">Draft Weight</t>
  </si>
  <si>
    <t xml:space="preserve">60%</t>
  </si>
  <si>
    <t xml:space="preserve">30%</t>
  </si>
  <si>
    <t xml:space="preserve">10%</t>
  </si>
  <si>
    <t xml:space="preserve">Total</t>
  </si>
  <si>
    <t xml:space="preserve">Card Count</t>
  </si>
  <si>
    <t xml:space="preserve">Pyroclast Ignitor — Starter Deck (10 cards)</t>
  </si>
  <si>
    <t xml:space="preserve">Card</t>
  </si>
  <si>
    <t xml:space="preserve">Molten Core</t>
  </si>
  <si>
    <t xml:space="preserve">Special</t>
  </si>
  <si>
    <t xml:space="preserve">Power 1</t>
  </si>
  <si>
    <t xml:space="preserve">At turn start, if Heat &gt;= 3, gain 1 Strength.</t>
  </si>
  <si>
    <t xml:space="preserve">Pyroclast Combo Chains</t>
  </si>
  <si>
    <t xml:space="preserve">Combo</t>
  </si>
  <si>
    <t xml:space="preserve">Cards</t>
  </si>
  <si>
    <t xml:space="preserve">Description</t>
  </si>
  <si>
    <t xml:space="preserve">1. Detonation Chain</t>
  </si>
  <si>
    <t xml:space="preserve">Oil Flask + Flame Lash + Combustion</t>
  </si>
  <si>
    <t xml:space="preserve">Apply Ignite 4, then Combustion triggers it immediately AND re-applies. 24+ damage from 2 cards.</t>
  </si>
  <si>
    <t xml:space="preserve">2. Heat Dump Finisher</t>
  </si>
  <si>
    <t xml:space="preserve">Kindle x2 + Spirit of Fire + Pyre Lance</t>
  </si>
  <si>
    <t xml:space="preserve">Turn 4 setup, turn 5 release. Pyre Lance hits for 24-30 at Heat 10-12.</t>
  </si>
  <si>
    <t xml:space="preserve">3. Infinite Draw Engine</t>
  </si>
  <si>
    <t xml:space="preserve">Forge Master + Fuel the Flames</t>
  </si>
  <si>
    <t xml:space="preserve">Exhaust 2-cost card, gain 6 Heat, Forge Master draws 2. Chains if you draw another Fuel the Flames.</t>
  </si>
  <si>
    <t xml:space="preserve">4. Overheat Tank</t>
  </si>
  <si>
    <t xml:space="preserve">Molten Skin + Heat Shimmer + Glowing Resolve</t>
  </si>
  <si>
    <t xml:space="preserve">Block cycles Heat via Molten Skin. At Heat 8, Glowing Resolve alone gives 24 Block.</t>
  </si>
  <si>
    <t xml:space="preserve">5. Revival Burst</t>
  </si>
  <si>
    <t xml:space="preserve">Phoenix Form + Immolate + Glass Cannon</t>
  </si>
  <si>
    <t xml:space="preserve">Drop to 0, revive with 15 HP and 3 Heat, Immolate for 22+. Ring of Fire returns add free damage.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</si>
</sst>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E8E8E8"/>
        <bgColor rgb="FFFFFFFF"/>
      </patternFill>
    </fill>
    <fill>
      <patternFill patternType="solid">
        <fgColor rgb="FFC4D9F0"/>
        <bgColor rgb="FFE8E8E8"/>
      </patternFill>
    </fill>
    <fill>
      <patternFill patternType="solid">
        <fgColor rgb="FFF5D9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4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9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45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7.5" hidden="false" customHeight="tru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n">
        <v>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37.5" hidden="false" customHeight="true" outlineLevel="0" collapsed="false">
      <c r="A3" s="2" t="s">
        <v>19</v>
      </c>
      <c r="B3" s="3" t="s">
        <v>20</v>
      </c>
      <c r="C3" s="2" t="s">
        <v>12</v>
      </c>
      <c r="D3" s="2" t="s">
        <v>21</v>
      </c>
      <c r="E3" s="2" t="n">
        <v>1</v>
      </c>
      <c r="F3" s="2" t="s">
        <v>22</v>
      </c>
      <c r="G3" s="2" t="s">
        <v>15</v>
      </c>
      <c r="H3" s="2" t="s">
        <v>23</v>
      </c>
      <c r="I3" s="2" t="s">
        <v>24</v>
      </c>
      <c r="J3" s="2" t="s">
        <v>25</v>
      </c>
    </row>
    <row r="4" customFormat="false" ht="37.5" hidden="false" customHeight="true" outlineLevel="0" collapsed="false">
      <c r="A4" s="2" t="s">
        <v>26</v>
      </c>
      <c r="B4" s="3" t="s">
        <v>27</v>
      </c>
      <c r="C4" s="2" t="s">
        <v>12</v>
      </c>
      <c r="D4" s="2" t="s">
        <v>21</v>
      </c>
      <c r="E4" s="2" t="n">
        <v>0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37.5" hidden="false" customHeight="true" outlineLevel="0" collapsed="false">
      <c r="A5" s="2" t="s">
        <v>33</v>
      </c>
      <c r="B5" s="3" t="s">
        <v>34</v>
      </c>
      <c r="C5" s="2" t="s">
        <v>12</v>
      </c>
      <c r="D5" s="2" t="s">
        <v>13</v>
      </c>
      <c r="E5" s="2" t="n">
        <v>1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</row>
    <row r="6" customFormat="false" ht="37.5" hidden="false" customHeight="true" outlineLevel="0" collapsed="false">
      <c r="A6" s="2" t="s">
        <v>40</v>
      </c>
      <c r="B6" s="3" t="s">
        <v>41</v>
      </c>
      <c r="C6" s="2" t="s">
        <v>12</v>
      </c>
      <c r="D6" s="2" t="s">
        <v>13</v>
      </c>
      <c r="E6" s="2" t="n">
        <v>1</v>
      </c>
      <c r="F6" s="2" t="s">
        <v>42</v>
      </c>
      <c r="G6" s="2" t="s">
        <v>36</v>
      </c>
      <c r="H6" s="2" t="s">
        <v>23</v>
      </c>
      <c r="I6" s="2" t="s">
        <v>43</v>
      </c>
      <c r="J6" s="2" t="s">
        <v>44</v>
      </c>
    </row>
    <row r="7" customFormat="false" ht="37.5" hidden="false" customHeight="true" outlineLevel="0" collapsed="false">
      <c r="A7" s="2" t="s">
        <v>45</v>
      </c>
      <c r="B7" s="3" t="s">
        <v>46</v>
      </c>
      <c r="C7" s="2" t="s">
        <v>12</v>
      </c>
      <c r="D7" s="2" t="s">
        <v>21</v>
      </c>
      <c r="E7" s="2" t="n">
        <v>1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</row>
    <row r="8" customFormat="false" ht="37.5" hidden="false" customHeight="true" outlineLevel="0" collapsed="false">
      <c r="A8" s="2" t="s">
        <v>52</v>
      </c>
      <c r="B8" s="3" t="s">
        <v>53</v>
      </c>
      <c r="C8" s="2" t="s">
        <v>12</v>
      </c>
      <c r="D8" s="2" t="s">
        <v>21</v>
      </c>
      <c r="E8" s="2" t="n">
        <v>0</v>
      </c>
      <c r="F8" s="2" t="s">
        <v>54</v>
      </c>
      <c r="G8" s="2" t="s">
        <v>36</v>
      </c>
      <c r="H8" s="2" t="s">
        <v>55</v>
      </c>
      <c r="I8" s="2" t="s">
        <v>56</v>
      </c>
      <c r="J8" s="2" t="s">
        <v>57</v>
      </c>
    </row>
    <row r="9" customFormat="false" ht="37.5" hidden="false" customHeight="true" outlineLevel="0" collapsed="false">
      <c r="A9" s="2" t="s">
        <v>58</v>
      </c>
      <c r="B9" s="3" t="s">
        <v>59</v>
      </c>
      <c r="C9" s="2" t="s">
        <v>12</v>
      </c>
      <c r="D9" s="2" t="s">
        <v>13</v>
      </c>
      <c r="E9" s="2" t="n">
        <v>2</v>
      </c>
      <c r="F9" s="2" t="s">
        <v>60</v>
      </c>
      <c r="G9" s="2" t="s">
        <v>29</v>
      </c>
      <c r="H9" s="2" t="s">
        <v>23</v>
      </c>
      <c r="I9" s="2" t="s">
        <v>61</v>
      </c>
      <c r="J9" s="2" t="s">
        <v>62</v>
      </c>
    </row>
    <row r="10" customFormat="false" ht="37.5" hidden="false" customHeight="true" outlineLevel="0" collapsed="false">
      <c r="A10" s="2" t="s">
        <v>63</v>
      </c>
      <c r="B10" s="3" t="s">
        <v>64</v>
      </c>
      <c r="C10" s="2" t="s">
        <v>12</v>
      </c>
      <c r="D10" s="2" t="s">
        <v>21</v>
      </c>
      <c r="E10" s="2" t="n">
        <v>1</v>
      </c>
      <c r="F10" s="2" t="s">
        <v>65</v>
      </c>
      <c r="G10" s="2" t="s">
        <v>29</v>
      </c>
      <c r="H10" s="2" t="s">
        <v>16</v>
      </c>
      <c r="I10" s="2" t="s">
        <v>66</v>
      </c>
      <c r="J10" s="2" t="s">
        <v>67</v>
      </c>
    </row>
    <row r="11" customFormat="false" ht="37.5" hidden="false" customHeight="true" outlineLevel="0" collapsed="false">
      <c r="A11" s="2" t="s">
        <v>68</v>
      </c>
      <c r="B11" s="3" t="s">
        <v>69</v>
      </c>
      <c r="C11" s="2" t="s">
        <v>12</v>
      </c>
      <c r="D11" s="2" t="s">
        <v>13</v>
      </c>
      <c r="E11" s="2" t="n">
        <v>1</v>
      </c>
      <c r="F11" s="2" t="s">
        <v>70</v>
      </c>
      <c r="G11" s="2" t="s">
        <v>29</v>
      </c>
      <c r="H11" s="2" t="s">
        <v>71</v>
      </c>
      <c r="I11" s="2" t="s">
        <v>72</v>
      </c>
      <c r="J11" s="2" t="s">
        <v>73</v>
      </c>
    </row>
    <row r="12" customFormat="false" ht="37.5" hidden="false" customHeight="true" outlineLevel="0" collapsed="false">
      <c r="A12" s="2" t="s">
        <v>74</v>
      </c>
      <c r="B12" s="3" t="s">
        <v>75</v>
      </c>
      <c r="C12" s="2" t="s">
        <v>12</v>
      </c>
      <c r="D12" s="2" t="s">
        <v>21</v>
      </c>
      <c r="E12" s="2" t="n">
        <v>1</v>
      </c>
      <c r="F12" s="2" t="s">
        <v>76</v>
      </c>
      <c r="G12" s="2" t="s">
        <v>77</v>
      </c>
      <c r="H12" s="2" t="s">
        <v>55</v>
      </c>
      <c r="I12" s="2" t="s">
        <v>78</v>
      </c>
      <c r="J12" s="2" t="s">
        <v>79</v>
      </c>
    </row>
    <row r="13" customFormat="false" ht="37.5" hidden="false" customHeight="true" outlineLevel="0" collapsed="false">
      <c r="A13" s="2" t="s">
        <v>80</v>
      </c>
      <c r="B13" s="3" t="s">
        <v>81</v>
      </c>
      <c r="C13" s="2" t="s">
        <v>12</v>
      </c>
      <c r="D13" s="2" t="s">
        <v>21</v>
      </c>
      <c r="E13" s="2" t="n">
        <v>0</v>
      </c>
      <c r="F13" s="2" t="s">
        <v>82</v>
      </c>
      <c r="G13" s="2" t="s">
        <v>29</v>
      </c>
      <c r="H13" s="2" t="s">
        <v>83</v>
      </c>
      <c r="I13" s="2" t="s">
        <v>84</v>
      </c>
      <c r="J13" s="2" t="s">
        <v>85</v>
      </c>
    </row>
    <row r="14" customFormat="false" ht="37.5" hidden="false" customHeight="true" outlineLevel="0" collapsed="false">
      <c r="A14" s="2" t="s">
        <v>86</v>
      </c>
      <c r="B14" s="3" t="s">
        <v>87</v>
      </c>
      <c r="C14" s="2" t="s">
        <v>12</v>
      </c>
      <c r="D14" s="2" t="s">
        <v>21</v>
      </c>
      <c r="E14" s="2" t="n">
        <v>0</v>
      </c>
      <c r="F14" s="2" t="s">
        <v>88</v>
      </c>
      <c r="G14" s="2" t="s">
        <v>48</v>
      </c>
      <c r="H14" s="2" t="s">
        <v>16</v>
      </c>
      <c r="I14" s="2" t="s">
        <v>89</v>
      </c>
      <c r="J14" s="2" t="s">
        <v>90</v>
      </c>
    </row>
    <row r="15" customFormat="false" ht="37.5" hidden="false" customHeight="true" outlineLevel="0" collapsed="false">
      <c r="A15" s="2" t="s">
        <v>91</v>
      </c>
      <c r="B15" s="3" t="s">
        <v>92</v>
      </c>
      <c r="C15" s="2" t="s">
        <v>12</v>
      </c>
      <c r="D15" s="2" t="s">
        <v>13</v>
      </c>
      <c r="E15" s="2" t="n">
        <v>2</v>
      </c>
      <c r="F15" s="2" t="s">
        <v>93</v>
      </c>
      <c r="G15" s="2" t="s">
        <v>29</v>
      </c>
      <c r="H15" s="2" t="s">
        <v>30</v>
      </c>
      <c r="I15" s="2" t="s">
        <v>94</v>
      </c>
      <c r="J15" s="2" t="s">
        <v>95</v>
      </c>
    </row>
    <row r="16" customFormat="false" ht="37.5" hidden="false" customHeight="true" outlineLevel="0" collapsed="false">
      <c r="A16" s="2" t="s">
        <v>96</v>
      </c>
      <c r="B16" s="3" t="s">
        <v>97</v>
      </c>
      <c r="C16" s="2" t="s">
        <v>12</v>
      </c>
      <c r="D16" s="2" t="s">
        <v>21</v>
      </c>
      <c r="E16" s="2" t="n">
        <v>1</v>
      </c>
      <c r="F16" s="2" t="s">
        <v>98</v>
      </c>
      <c r="G16" s="2" t="s">
        <v>48</v>
      </c>
      <c r="H16" s="2" t="s">
        <v>30</v>
      </c>
      <c r="I16" s="2" t="s">
        <v>99</v>
      </c>
      <c r="J16" s="2" t="s">
        <v>100</v>
      </c>
    </row>
    <row r="17" customFormat="false" ht="37.5" hidden="false" customHeight="true" outlineLevel="0" collapsed="false">
      <c r="A17" s="2" t="s">
        <v>101</v>
      </c>
      <c r="B17" s="3" t="s">
        <v>102</v>
      </c>
      <c r="C17" s="2" t="s">
        <v>12</v>
      </c>
      <c r="D17" s="2" t="s">
        <v>21</v>
      </c>
      <c r="E17" s="2" t="n">
        <v>1</v>
      </c>
      <c r="F17" s="2" t="s">
        <v>103</v>
      </c>
      <c r="G17" s="2" t="s">
        <v>29</v>
      </c>
      <c r="H17" s="2" t="s">
        <v>23</v>
      </c>
      <c r="I17" s="2" t="s">
        <v>104</v>
      </c>
      <c r="J17" s="2" t="s">
        <v>105</v>
      </c>
    </row>
    <row r="18" customFormat="false" ht="37.5" hidden="false" customHeight="true" outlineLevel="0" collapsed="false">
      <c r="A18" s="4" t="s">
        <v>106</v>
      </c>
      <c r="B18" s="5" t="s">
        <v>107</v>
      </c>
      <c r="C18" s="4" t="s">
        <v>108</v>
      </c>
      <c r="D18" s="4" t="s">
        <v>13</v>
      </c>
      <c r="E18" s="4" t="n">
        <v>2</v>
      </c>
      <c r="F18" s="4" t="s">
        <v>109</v>
      </c>
      <c r="G18" s="4" t="s">
        <v>36</v>
      </c>
      <c r="H18" s="4" t="s">
        <v>55</v>
      </c>
      <c r="I18" s="4" t="s">
        <v>110</v>
      </c>
      <c r="J18" s="4" t="s">
        <v>111</v>
      </c>
    </row>
    <row r="19" customFormat="false" ht="37.5" hidden="false" customHeight="true" outlineLevel="0" collapsed="false">
      <c r="A19" s="4" t="s">
        <v>112</v>
      </c>
      <c r="B19" s="5" t="s">
        <v>113</v>
      </c>
      <c r="C19" s="4" t="s">
        <v>108</v>
      </c>
      <c r="D19" s="4" t="s">
        <v>114</v>
      </c>
      <c r="E19" s="4" t="n">
        <v>2</v>
      </c>
      <c r="F19" s="4" t="s">
        <v>115</v>
      </c>
      <c r="G19" s="4" t="s">
        <v>116</v>
      </c>
      <c r="H19" s="4" t="s">
        <v>117</v>
      </c>
      <c r="I19" s="4" t="s">
        <v>118</v>
      </c>
      <c r="J19" s="4" t="s">
        <v>119</v>
      </c>
    </row>
    <row r="20" customFormat="false" ht="37.5" hidden="false" customHeight="true" outlineLevel="0" collapsed="false">
      <c r="A20" s="4" t="s">
        <v>120</v>
      </c>
      <c r="B20" s="5" t="s">
        <v>121</v>
      </c>
      <c r="C20" s="4" t="s">
        <v>108</v>
      </c>
      <c r="D20" s="4" t="s">
        <v>114</v>
      </c>
      <c r="E20" s="4" t="n">
        <v>1</v>
      </c>
      <c r="F20" s="4" t="s">
        <v>122</v>
      </c>
      <c r="G20" s="4" t="s">
        <v>116</v>
      </c>
      <c r="H20" s="4" t="s">
        <v>123</v>
      </c>
      <c r="I20" s="4" t="s">
        <v>124</v>
      </c>
      <c r="J20" s="4" t="s">
        <v>125</v>
      </c>
    </row>
    <row r="21" customFormat="false" ht="37.5" hidden="false" customHeight="true" outlineLevel="0" collapsed="false">
      <c r="A21" s="4" t="s">
        <v>126</v>
      </c>
      <c r="B21" s="5" t="s">
        <v>127</v>
      </c>
      <c r="C21" s="4" t="s">
        <v>108</v>
      </c>
      <c r="D21" s="4" t="s">
        <v>21</v>
      </c>
      <c r="E21" s="4" t="n">
        <v>1</v>
      </c>
      <c r="F21" s="4" t="s">
        <v>128</v>
      </c>
      <c r="G21" s="4" t="s">
        <v>77</v>
      </c>
      <c r="H21" s="4" t="s">
        <v>30</v>
      </c>
      <c r="I21" s="4" t="s">
        <v>129</v>
      </c>
      <c r="J21" s="4" t="s">
        <v>130</v>
      </c>
    </row>
    <row r="22" customFormat="false" ht="37.5" hidden="false" customHeight="true" outlineLevel="0" collapsed="false">
      <c r="A22" s="4" t="s">
        <v>131</v>
      </c>
      <c r="B22" s="5" t="s">
        <v>132</v>
      </c>
      <c r="C22" s="4" t="s">
        <v>108</v>
      </c>
      <c r="D22" s="4" t="s">
        <v>13</v>
      </c>
      <c r="E22" s="4" t="n">
        <v>2</v>
      </c>
      <c r="F22" s="4" t="s">
        <v>133</v>
      </c>
      <c r="G22" s="4" t="s">
        <v>29</v>
      </c>
      <c r="H22" s="4" t="s">
        <v>134</v>
      </c>
      <c r="I22" s="4" t="s">
        <v>135</v>
      </c>
      <c r="J22" s="4" t="s">
        <v>136</v>
      </c>
    </row>
    <row r="23" customFormat="false" ht="37.5" hidden="false" customHeight="true" outlineLevel="0" collapsed="false">
      <c r="A23" s="4" t="s">
        <v>137</v>
      </c>
      <c r="B23" s="5" t="s">
        <v>138</v>
      </c>
      <c r="C23" s="4" t="s">
        <v>108</v>
      </c>
      <c r="D23" s="4" t="s">
        <v>21</v>
      </c>
      <c r="E23" s="4" t="n">
        <v>0</v>
      </c>
      <c r="F23" s="4" t="s">
        <v>139</v>
      </c>
      <c r="G23" s="4" t="s">
        <v>48</v>
      </c>
      <c r="H23" s="4" t="s">
        <v>16</v>
      </c>
      <c r="I23" s="4" t="s">
        <v>140</v>
      </c>
      <c r="J23" s="4" t="s">
        <v>141</v>
      </c>
    </row>
    <row r="24" customFormat="false" ht="37.5" hidden="false" customHeight="true" outlineLevel="0" collapsed="false">
      <c r="A24" s="4" t="s">
        <v>142</v>
      </c>
      <c r="B24" s="5" t="s">
        <v>143</v>
      </c>
      <c r="C24" s="4" t="s">
        <v>108</v>
      </c>
      <c r="D24" s="4" t="s">
        <v>13</v>
      </c>
      <c r="E24" s="4" t="n">
        <v>3</v>
      </c>
      <c r="F24" s="4" t="s">
        <v>144</v>
      </c>
      <c r="G24" s="4" t="s">
        <v>29</v>
      </c>
      <c r="H24" s="4" t="s">
        <v>145</v>
      </c>
      <c r="I24" s="4" t="s">
        <v>146</v>
      </c>
      <c r="J24" s="4" t="s">
        <v>147</v>
      </c>
    </row>
    <row r="25" customFormat="false" ht="37.5" hidden="false" customHeight="true" outlineLevel="0" collapsed="false">
      <c r="A25" s="4" t="s">
        <v>148</v>
      </c>
      <c r="B25" s="5" t="s">
        <v>149</v>
      </c>
      <c r="C25" s="4" t="s">
        <v>108</v>
      </c>
      <c r="D25" s="4" t="s">
        <v>21</v>
      </c>
      <c r="E25" s="4" t="n">
        <v>1</v>
      </c>
      <c r="F25" s="4" t="s">
        <v>150</v>
      </c>
      <c r="G25" s="4" t="s">
        <v>77</v>
      </c>
      <c r="H25" s="4" t="s">
        <v>30</v>
      </c>
      <c r="I25" s="4" t="s">
        <v>151</v>
      </c>
      <c r="J25" s="4" t="s">
        <v>152</v>
      </c>
    </row>
    <row r="26" customFormat="false" ht="37.5" hidden="false" customHeight="true" outlineLevel="0" collapsed="false">
      <c r="A26" s="4" t="s">
        <v>153</v>
      </c>
      <c r="B26" s="5" t="s">
        <v>154</v>
      </c>
      <c r="C26" s="4" t="s">
        <v>108</v>
      </c>
      <c r="D26" s="4" t="s">
        <v>13</v>
      </c>
      <c r="E26" s="4" t="n">
        <v>2</v>
      </c>
      <c r="F26" s="4" t="s">
        <v>155</v>
      </c>
      <c r="G26" s="4" t="s">
        <v>36</v>
      </c>
      <c r="H26" s="4" t="s">
        <v>156</v>
      </c>
      <c r="I26" s="4" t="s">
        <v>157</v>
      </c>
      <c r="J26" s="4" t="s">
        <v>158</v>
      </c>
    </row>
    <row r="27" customFormat="false" ht="37.5" hidden="false" customHeight="true" outlineLevel="0" collapsed="false">
      <c r="A27" s="4" t="s">
        <v>159</v>
      </c>
      <c r="B27" s="5" t="s">
        <v>160</v>
      </c>
      <c r="C27" s="4" t="s">
        <v>108</v>
      </c>
      <c r="D27" s="4" t="s">
        <v>13</v>
      </c>
      <c r="E27" s="4" t="n">
        <v>1</v>
      </c>
      <c r="F27" s="4" t="s">
        <v>161</v>
      </c>
      <c r="G27" s="4" t="s">
        <v>48</v>
      </c>
      <c r="H27" s="4" t="s">
        <v>162</v>
      </c>
      <c r="I27" s="4" t="s">
        <v>163</v>
      </c>
      <c r="J27" s="4" t="s">
        <v>164</v>
      </c>
    </row>
    <row r="28" customFormat="false" ht="37.5" hidden="false" customHeight="true" outlineLevel="0" collapsed="false">
      <c r="A28" s="4" t="s">
        <v>165</v>
      </c>
      <c r="B28" s="5" t="s">
        <v>166</v>
      </c>
      <c r="C28" s="4" t="s">
        <v>108</v>
      </c>
      <c r="D28" s="4" t="s">
        <v>21</v>
      </c>
      <c r="E28" s="4" t="n">
        <v>1</v>
      </c>
      <c r="F28" s="4" t="s">
        <v>167</v>
      </c>
      <c r="G28" s="4" t="s">
        <v>29</v>
      </c>
      <c r="H28" s="4" t="s">
        <v>30</v>
      </c>
      <c r="I28" s="4" t="s">
        <v>168</v>
      </c>
      <c r="J28" s="4" t="s">
        <v>169</v>
      </c>
    </row>
    <row r="29" customFormat="false" ht="37.5" hidden="false" customHeight="true" outlineLevel="0" collapsed="false">
      <c r="A29" s="4" t="s">
        <v>170</v>
      </c>
      <c r="B29" s="5" t="s">
        <v>171</v>
      </c>
      <c r="C29" s="4" t="s">
        <v>108</v>
      </c>
      <c r="D29" s="4" t="s">
        <v>21</v>
      </c>
      <c r="E29" s="4" t="n">
        <v>1</v>
      </c>
      <c r="F29" s="4" t="s">
        <v>172</v>
      </c>
      <c r="G29" s="4" t="s">
        <v>116</v>
      </c>
      <c r="H29" s="4" t="s">
        <v>173</v>
      </c>
      <c r="I29" s="4" t="s">
        <v>174</v>
      </c>
      <c r="J29" s="4" t="s">
        <v>175</v>
      </c>
    </row>
    <row r="30" customFormat="false" ht="37.5" hidden="false" customHeight="true" outlineLevel="0" collapsed="false">
      <c r="A30" s="4" t="s">
        <v>176</v>
      </c>
      <c r="B30" s="5" t="s">
        <v>177</v>
      </c>
      <c r="C30" s="4" t="s">
        <v>108</v>
      </c>
      <c r="D30" s="4" t="s">
        <v>13</v>
      </c>
      <c r="E30" s="4" t="n">
        <v>2</v>
      </c>
      <c r="F30" s="4" t="s">
        <v>178</v>
      </c>
      <c r="G30" s="4" t="s">
        <v>48</v>
      </c>
      <c r="H30" s="4" t="s">
        <v>179</v>
      </c>
      <c r="I30" s="4" t="s">
        <v>180</v>
      </c>
      <c r="J30" s="4" t="s">
        <v>181</v>
      </c>
    </row>
    <row r="31" customFormat="false" ht="37.5" hidden="false" customHeight="true" outlineLevel="0" collapsed="false">
      <c r="A31" s="4" t="s">
        <v>182</v>
      </c>
      <c r="B31" s="5" t="s">
        <v>183</v>
      </c>
      <c r="C31" s="4" t="s">
        <v>108</v>
      </c>
      <c r="D31" s="4" t="s">
        <v>114</v>
      </c>
      <c r="E31" s="4" t="n">
        <v>2</v>
      </c>
      <c r="F31" s="4" t="s">
        <v>184</v>
      </c>
      <c r="G31" s="4" t="s">
        <v>29</v>
      </c>
      <c r="H31" s="4" t="s">
        <v>185</v>
      </c>
      <c r="I31" s="4" t="s">
        <v>186</v>
      </c>
      <c r="J31" s="4" t="s">
        <v>187</v>
      </c>
    </row>
    <row r="32" customFormat="false" ht="37.5" hidden="false" customHeight="true" outlineLevel="0" collapsed="false">
      <c r="A32" s="6" t="s">
        <v>188</v>
      </c>
      <c r="B32" s="7" t="s">
        <v>189</v>
      </c>
      <c r="C32" s="6" t="s">
        <v>190</v>
      </c>
      <c r="D32" s="6" t="s">
        <v>13</v>
      </c>
      <c r="E32" s="6" t="n">
        <v>2</v>
      </c>
      <c r="F32" s="6" t="s">
        <v>191</v>
      </c>
      <c r="G32" s="6" t="s">
        <v>36</v>
      </c>
      <c r="H32" s="6" t="s">
        <v>192</v>
      </c>
      <c r="I32" s="6" t="s">
        <v>193</v>
      </c>
      <c r="J32" s="6" t="s">
        <v>194</v>
      </c>
    </row>
    <row r="33" customFormat="false" ht="37.5" hidden="false" customHeight="true" outlineLevel="0" collapsed="false">
      <c r="A33" s="6" t="s">
        <v>195</v>
      </c>
      <c r="B33" s="7" t="s">
        <v>196</v>
      </c>
      <c r="C33" s="6" t="s">
        <v>190</v>
      </c>
      <c r="D33" s="6" t="s">
        <v>114</v>
      </c>
      <c r="E33" s="6" t="n">
        <v>3</v>
      </c>
      <c r="F33" s="6" t="s">
        <v>197</v>
      </c>
      <c r="G33" s="6" t="s">
        <v>36</v>
      </c>
      <c r="H33" s="6" t="s">
        <v>198</v>
      </c>
      <c r="I33" s="6" t="s">
        <v>199</v>
      </c>
      <c r="J33" s="6" t="s">
        <v>200</v>
      </c>
    </row>
    <row r="34" customFormat="false" ht="37.5" hidden="false" customHeight="true" outlineLevel="0" collapsed="false">
      <c r="A34" s="6" t="s">
        <v>201</v>
      </c>
      <c r="B34" s="7" t="s">
        <v>202</v>
      </c>
      <c r="C34" s="6" t="s">
        <v>190</v>
      </c>
      <c r="D34" s="6" t="s">
        <v>13</v>
      </c>
      <c r="E34" s="6" t="n">
        <v>2</v>
      </c>
      <c r="F34" s="6" t="s">
        <v>203</v>
      </c>
      <c r="G34" s="6" t="s">
        <v>77</v>
      </c>
      <c r="H34" s="6" t="s">
        <v>204</v>
      </c>
      <c r="I34" s="6" t="s">
        <v>205</v>
      </c>
      <c r="J34" s="6" t="s">
        <v>206</v>
      </c>
    </row>
    <row r="35" customFormat="false" ht="37.5" hidden="false" customHeight="true" outlineLevel="0" collapsed="false">
      <c r="A35" s="6" t="s">
        <v>207</v>
      </c>
      <c r="B35" s="7" t="s">
        <v>208</v>
      </c>
      <c r="C35" s="6" t="s">
        <v>190</v>
      </c>
      <c r="D35" s="6" t="s">
        <v>114</v>
      </c>
      <c r="E35" s="6" t="n">
        <v>3</v>
      </c>
      <c r="F35" s="6" t="s">
        <v>209</v>
      </c>
      <c r="G35" s="6" t="s">
        <v>77</v>
      </c>
      <c r="H35" s="6" t="s">
        <v>210</v>
      </c>
      <c r="I35" s="6" t="s">
        <v>211</v>
      </c>
      <c r="J35" s="6" t="s">
        <v>212</v>
      </c>
    </row>
    <row r="36" customFormat="false" ht="37.5" hidden="false" customHeight="true" outlineLevel="0" collapsed="false">
      <c r="A36" s="6" t="s">
        <v>213</v>
      </c>
      <c r="B36" s="7" t="s">
        <v>214</v>
      </c>
      <c r="C36" s="6" t="s">
        <v>190</v>
      </c>
      <c r="D36" s="6" t="s">
        <v>114</v>
      </c>
      <c r="E36" s="6" t="n">
        <v>2</v>
      </c>
      <c r="F36" s="6" t="s">
        <v>215</v>
      </c>
      <c r="G36" s="6" t="s">
        <v>116</v>
      </c>
      <c r="H36" s="6" t="s">
        <v>117</v>
      </c>
      <c r="I36" s="6" t="s">
        <v>216</v>
      </c>
      <c r="J36" s="6" t="s">
        <v>217</v>
      </c>
    </row>
    <row r="37" customFormat="false" ht="37.5" hidden="false" customHeight="true" outlineLevel="0" collapsed="false">
      <c r="A37" s="6" t="s">
        <v>218</v>
      </c>
      <c r="B37" s="7" t="s">
        <v>219</v>
      </c>
      <c r="C37" s="6" t="s">
        <v>190</v>
      </c>
      <c r="D37" s="6" t="s">
        <v>13</v>
      </c>
      <c r="E37" s="6" t="n">
        <v>3</v>
      </c>
      <c r="F37" s="6" t="s">
        <v>220</v>
      </c>
      <c r="G37" s="6" t="s">
        <v>29</v>
      </c>
      <c r="H37" s="6" t="s">
        <v>221</v>
      </c>
      <c r="I37" s="6" t="s">
        <v>222</v>
      </c>
      <c r="J37" s="6" t="s">
        <v>223</v>
      </c>
    </row>
    <row r="38" customFormat="false" ht="37.5" hidden="false" customHeight="true" outlineLevel="0" collapsed="false">
      <c r="A38" s="6" t="s">
        <v>224</v>
      </c>
      <c r="B38" s="7" t="s">
        <v>225</v>
      </c>
      <c r="C38" s="6" t="s">
        <v>190</v>
      </c>
      <c r="D38" s="6" t="s">
        <v>114</v>
      </c>
      <c r="E38" s="6" t="n">
        <v>2</v>
      </c>
      <c r="F38" s="6" t="s">
        <v>226</v>
      </c>
      <c r="G38" s="6" t="s">
        <v>29</v>
      </c>
      <c r="H38" s="6" t="s">
        <v>227</v>
      </c>
      <c r="I38" s="6" t="s">
        <v>228</v>
      </c>
      <c r="J38" s="6" t="s">
        <v>229</v>
      </c>
    </row>
    <row r="39" customFormat="false" ht="37.5" hidden="false" customHeight="true" outlineLevel="0" collapsed="false">
      <c r="A39" s="6" t="s">
        <v>230</v>
      </c>
      <c r="B39" s="7" t="s">
        <v>231</v>
      </c>
      <c r="C39" s="6" t="s">
        <v>190</v>
      </c>
      <c r="D39" s="6" t="s">
        <v>114</v>
      </c>
      <c r="E39" s="6" t="n">
        <v>2</v>
      </c>
      <c r="F39" s="6" t="s">
        <v>232</v>
      </c>
      <c r="G39" s="6" t="s">
        <v>29</v>
      </c>
      <c r="H39" s="6" t="s">
        <v>185</v>
      </c>
      <c r="I39" s="6" t="s">
        <v>233</v>
      </c>
      <c r="J39" s="6" t="s">
        <v>234</v>
      </c>
    </row>
    <row r="40" customFormat="false" ht="37.5" hidden="false" customHeight="true" outlineLevel="0" collapsed="false">
      <c r="A40" s="6" t="s">
        <v>235</v>
      </c>
      <c r="B40" s="7" t="s">
        <v>236</v>
      </c>
      <c r="C40" s="6" t="s">
        <v>190</v>
      </c>
      <c r="D40" s="6" t="s">
        <v>13</v>
      </c>
      <c r="E40" s="6" t="n">
        <v>2</v>
      </c>
      <c r="F40" s="6" t="s">
        <v>237</v>
      </c>
      <c r="G40" s="6" t="s">
        <v>29</v>
      </c>
      <c r="H40" s="6" t="s">
        <v>30</v>
      </c>
      <c r="I40" s="6" t="s">
        <v>238</v>
      </c>
      <c r="J40" s="6" t="s">
        <v>239</v>
      </c>
    </row>
    <row r="41" customFormat="false" ht="37.5" hidden="false" customHeight="true" outlineLevel="0" collapsed="false">
      <c r="A41" s="6" t="s">
        <v>240</v>
      </c>
      <c r="B41" s="7" t="s">
        <v>241</v>
      </c>
      <c r="C41" s="6" t="s">
        <v>190</v>
      </c>
      <c r="D41" s="6" t="s">
        <v>13</v>
      </c>
      <c r="E41" s="6" t="n">
        <v>1</v>
      </c>
      <c r="F41" s="6" t="s">
        <v>242</v>
      </c>
      <c r="G41" s="6" t="s">
        <v>48</v>
      </c>
      <c r="H41" s="6" t="s">
        <v>30</v>
      </c>
      <c r="I41" s="6" t="s">
        <v>243</v>
      </c>
      <c r="J41" s="6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7.35" hidden="false" customHeight="false" outlineLevel="0" collapsed="false">
      <c r="A1" s="8" t="s">
        <v>245</v>
      </c>
    </row>
    <row r="3" customFormat="false" ht="15" hidden="false" customHeight="false" outlineLevel="0" collapsed="false">
      <c r="A3" s="9" t="s">
        <v>2</v>
      </c>
      <c r="B3" s="9" t="s">
        <v>246</v>
      </c>
      <c r="C3" s="9" t="s">
        <v>247</v>
      </c>
      <c r="D3" s="9" t="s">
        <v>3</v>
      </c>
      <c r="E3" s="9" t="s">
        <v>246</v>
      </c>
    </row>
    <row r="4" customFormat="false" ht="15" hidden="false" customHeight="false" outlineLevel="0" collapsed="false">
      <c r="A4" s="10" t="s">
        <v>12</v>
      </c>
      <c r="B4" s="10" t="n">
        <f aca="false">COUNTIF('Pyroclast Cards'!C:C,"Common")</f>
        <v>16</v>
      </c>
      <c r="C4" s="10" t="s">
        <v>248</v>
      </c>
      <c r="D4" s="11" t="s">
        <v>13</v>
      </c>
      <c r="E4" s="11" t="n">
        <f aca="false">COUNTIF('Pyroclast Cards'!D:D,"Attack")</f>
        <v>17</v>
      </c>
    </row>
    <row r="5" customFormat="false" ht="15" hidden="false" customHeight="false" outlineLevel="0" collapsed="false">
      <c r="A5" s="12" t="s">
        <v>108</v>
      </c>
      <c r="B5" s="12" t="n">
        <f aca="false">COUNTIF('Pyroclast Cards'!C:C,"Uncommon")</f>
        <v>14</v>
      </c>
      <c r="C5" s="12" t="s">
        <v>249</v>
      </c>
      <c r="D5" s="11" t="s">
        <v>21</v>
      </c>
      <c r="E5" s="11" t="n">
        <f aca="false">COUNTIF('Pyroclast Cards'!D:D,"Skill")</f>
        <v>15</v>
      </c>
    </row>
    <row r="6" customFormat="false" ht="15" hidden="false" customHeight="false" outlineLevel="0" collapsed="false">
      <c r="A6" s="13" t="s">
        <v>190</v>
      </c>
      <c r="B6" s="13" t="n">
        <f aca="false">COUNTIF('Pyroclast Cards'!C:C,"Rare")</f>
        <v>10</v>
      </c>
      <c r="C6" s="13" t="s">
        <v>250</v>
      </c>
      <c r="D6" s="11" t="s">
        <v>114</v>
      </c>
      <c r="E6" s="11" t="n">
        <f aca="false">COUNTIF('Pyroclast Cards'!D:D,"Power")</f>
        <v>8</v>
      </c>
    </row>
    <row r="7" customFormat="false" ht="15" hidden="false" customHeight="false" outlineLevel="0" collapsed="false">
      <c r="A7" s="14" t="s">
        <v>251</v>
      </c>
      <c r="B7" s="14" t="n">
        <f aca="false">SUM(B4:B6)</f>
        <v>40</v>
      </c>
    </row>
    <row r="10" customFormat="false" ht="15" hidden="false" customHeight="false" outlineLevel="0" collapsed="false">
      <c r="A10" s="9" t="s">
        <v>6</v>
      </c>
      <c r="B10" s="9" t="s">
        <v>252</v>
      </c>
      <c r="D10" s="9" t="s">
        <v>4</v>
      </c>
      <c r="E10" s="9" t="s">
        <v>246</v>
      </c>
    </row>
    <row r="11" customFormat="false" ht="15" hidden="false" customHeight="false" outlineLevel="0" collapsed="false">
      <c r="A11" s="11" t="s">
        <v>29</v>
      </c>
      <c r="B11" s="11" t="n">
        <f aca="false">COUNTIF('Pyroclast Cards'!G:G,"Heat Snowball")</f>
        <v>15</v>
      </c>
      <c r="D11" s="11" t="n">
        <v>0</v>
      </c>
      <c r="E11" s="11" t="n">
        <f aca="false">COUNTIF('Pyroclast Cards'!E:E,0)</f>
        <v>5</v>
      </c>
    </row>
    <row r="12" customFormat="false" ht="15" hidden="false" customHeight="false" outlineLevel="0" collapsed="false">
      <c r="A12" s="11" t="s">
        <v>36</v>
      </c>
      <c r="B12" s="11" t="n">
        <f aca="false">COUNTIF('Pyroclast Cards'!G:G,"Ignite Stack")</f>
        <v>7</v>
      </c>
      <c r="D12" s="11" t="n">
        <v>1</v>
      </c>
      <c r="E12" s="11" t="n">
        <f aca="false">COUNTIF('Pyroclast Cards'!E:E,1)</f>
        <v>17</v>
      </c>
    </row>
    <row r="13" customFormat="false" ht="15" hidden="false" customHeight="false" outlineLevel="0" collapsed="false">
      <c r="A13" s="11" t="s">
        <v>77</v>
      </c>
      <c r="B13" s="11" t="n">
        <f aca="false">COUNTIF('Pyroclast Cards'!G:G,"Self-Burn")</f>
        <v>5</v>
      </c>
      <c r="D13" s="11" t="n">
        <v>2</v>
      </c>
      <c r="E13" s="11" t="n">
        <f aca="false">COUNTIF('Pyroclast Cards'!E:E,2)</f>
        <v>14</v>
      </c>
    </row>
    <row r="14" customFormat="false" ht="15" hidden="false" customHeight="false" outlineLevel="0" collapsed="false">
      <c r="A14" s="11" t="s">
        <v>116</v>
      </c>
      <c r="B14" s="11" t="n">
        <f aca="false">COUNTIF('Pyroclast Cards'!G:G,"Overheat Tank")</f>
        <v>4</v>
      </c>
      <c r="D14" s="11" t="n">
        <v>3</v>
      </c>
      <c r="E14" s="11" t="n">
        <f aca="false">COUNTIF('Pyroclast Cards'!E:E,3)</f>
        <v>4</v>
      </c>
    </row>
    <row r="15" customFormat="false" ht="15" hidden="false" customHeight="false" outlineLevel="0" collapsed="false">
      <c r="A15" s="11" t="s">
        <v>48</v>
      </c>
      <c r="B15" s="11" t="n">
        <f aca="false">COUNTIF('Pyroclast Cards'!G:G,"Support")</f>
        <v>7</v>
      </c>
    </row>
    <row r="16" customFormat="false" ht="15" hidden="false" customHeight="false" outlineLevel="0" collapsed="false">
      <c r="A16" s="11" t="s">
        <v>15</v>
      </c>
      <c r="B16" s="11" t="n">
        <f aca="false">COUNTIF('Pyroclast Cards'!G:G,"Basic")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8" t="s">
        <v>253</v>
      </c>
    </row>
    <row r="3" customFormat="false" ht="15" hidden="false" customHeight="false" outlineLevel="0" collapsed="false">
      <c r="A3" s="9" t="s">
        <v>246</v>
      </c>
      <c r="B3" s="9" t="s">
        <v>254</v>
      </c>
      <c r="C3" s="9" t="s">
        <v>2</v>
      </c>
      <c r="D3" s="9" t="s">
        <v>4</v>
      </c>
      <c r="E3" s="9" t="s">
        <v>5</v>
      </c>
    </row>
    <row r="4" customFormat="false" ht="15" hidden="false" customHeight="false" outlineLevel="0" collapsed="false">
      <c r="A4" s="15" t="n">
        <v>5</v>
      </c>
      <c r="B4" s="15" t="s">
        <v>11</v>
      </c>
      <c r="C4" s="15" t="s">
        <v>15</v>
      </c>
      <c r="D4" s="15" t="n">
        <v>1</v>
      </c>
      <c r="E4" s="15" t="s">
        <v>14</v>
      </c>
    </row>
    <row r="5" customFormat="false" ht="15" hidden="false" customHeight="false" outlineLevel="0" collapsed="false">
      <c r="A5" s="15" t="n">
        <v>4</v>
      </c>
      <c r="B5" s="15" t="s">
        <v>20</v>
      </c>
      <c r="C5" s="15" t="s">
        <v>15</v>
      </c>
      <c r="D5" s="15" t="n">
        <v>1</v>
      </c>
      <c r="E5" s="15" t="s">
        <v>22</v>
      </c>
    </row>
    <row r="6" customFormat="false" ht="15" hidden="false" customHeight="false" outlineLevel="0" collapsed="false">
      <c r="A6" s="15" t="n">
        <v>1</v>
      </c>
      <c r="B6" s="15" t="s">
        <v>255</v>
      </c>
      <c r="C6" s="15" t="s">
        <v>256</v>
      </c>
      <c r="D6" s="15" t="s">
        <v>257</v>
      </c>
      <c r="E6" s="15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5"/>
    <col collapsed="false" customWidth="true" hidden="false" outlineLevel="0" max="3" min="3" style="0" width="65"/>
  </cols>
  <sheetData>
    <row r="1" customFormat="false" ht="17.35" hidden="false" customHeight="false" outlineLevel="0" collapsed="false">
      <c r="A1" s="8" t="s">
        <v>259</v>
      </c>
    </row>
    <row r="3" customFormat="false" ht="15" hidden="false" customHeight="false" outlineLevel="0" collapsed="false">
      <c r="A3" s="9" t="s">
        <v>260</v>
      </c>
      <c r="B3" s="9" t="s">
        <v>261</v>
      </c>
      <c r="C3" s="9" t="s">
        <v>262</v>
      </c>
    </row>
    <row r="4" customFormat="false" ht="49.5" hidden="false" customHeight="true" outlineLevel="0" collapsed="false">
      <c r="A4" s="16" t="s">
        <v>263</v>
      </c>
      <c r="B4" s="17" t="s">
        <v>264</v>
      </c>
      <c r="C4" s="17" t="s">
        <v>265</v>
      </c>
    </row>
    <row r="5" customFormat="false" ht="49.5" hidden="false" customHeight="true" outlineLevel="0" collapsed="false">
      <c r="A5" s="16" t="s">
        <v>266</v>
      </c>
      <c r="B5" s="17" t="s">
        <v>267</v>
      </c>
      <c r="C5" s="17" t="s">
        <v>268</v>
      </c>
    </row>
    <row r="6" customFormat="false" ht="49.5" hidden="false" customHeight="true" outlineLevel="0" collapsed="false">
      <c r="A6" s="16" t="s">
        <v>269</v>
      </c>
      <c r="B6" s="17" t="s">
        <v>270</v>
      </c>
      <c r="C6" s="17" t="s">
        <v>271</v>
      </c>
    </row>
    <row r="7" customFormat="false" ht="49.5" hidden="false" customHeight="true" outlineLevel="0" collapsed="false">
      <c r="A7" s="16" t="s">
        <v>272</v>
      </c>
      <c r="B7" s="17" t="s">
        <v>273</v>
      </c>
      <c r="C7" s="17" t="s">
        <v>274</v>
      </c>
    </row>
    <row r="8" customFormat="false" ht="49.5" hidden="false" customHeight="true" outlineLevel="0" collapsed="false">
      <c r="A8" s="16" t="s">
        <v>275</v>
      </c>
      <c r="B8" s="17" t="s">
        <v>276</v>
      </c>
      <c r="C8" s="17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2026-04-22T15:28:23Z</dcterms:created>
  <dc:creator>openpyxl</dc:creator>
  <dc:description/>
  <dc:language>en-US</dc:language>
  <cp:lastModifiedBy/>
  <dcterms:modified xsi:type="dcterms:W3CDTF">2026-04-22T15:28:23Z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