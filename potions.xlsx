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tions" sheetId="1" state="visible" r:id="rId3"/>
    <sheet name="Summary" sheetId="2" state="visible" r:id="rId4"/>
    <sheet name="Inventory Rules" sheetId="3" state="visible" r:id="rId5"/>
    <sheet name="Faction Intera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<sst xmlns="http://schemas.openxmlformats.org/spreadsheetml/2006/main" count="183" uniqueCount="133">
  <si>
    <t xml:space="preserve">Shattered Reach — Potion Pool (14 entries)</t>
  </si>
  <si>
    <t xml:space="preserve">Single-use combat consumables. 3-slot inventory. Usable on player turn for immediate effect.</t>
  </si>
  <si>
    <t xml:space="preserve">ID</t>
  </si>
  <si>
    <t xml:space="preserve">Name</t>
  </si>
  <si>
    <t xml:space="preserve">Rarity</t>
  </si>
  <si>
    <t xml:space="preserve">Category</t>
  </si>
  <si>
    <t xml:space="preserve">Effect</t>
  </si>
  <si>
    <t xml:space="preserve">Faction Affinity</t>
  </si>
  <si>
    <t xml:space="preserve">Flavor</t>
  </si>
  <si>
    <t xml:space="preserve">PO-01</t>
  </si>
  <si>
    <t xml:space="preserve">Block Draught</t>
  </si>
  <si>
    <t xml:space="preserve">Common</t>
  </si>
  <si>
    <t xml:space="preserve">Defense</t>
  </si>
  <si>
    <t xml:space="preserve">Gain 12 Block.</t>
  </si>
  <si>
    <t xml:space="preserve">None</t>
  </si>
  <si>
    <t xml:space="preserve">Thick, gray, tastes like iron shavings.</t>
  </si>
  <si>
    <t xml:space="preserve">PO-02</t>
  </si>
  <si>
    <t xml:space="preserve">Swift Brew</t>
  </si>
  <si>
    <t xml:space="preserve">Tempo</t>
  </si>
  <si>
    <t xml:space="preserve">Draw 3 cards.</t>
  </si>
  <si>
    <t xml:space="preserve">A wisp of pale smoke rises continuously from the bottle.</t>
  </si>
  <si>
    <t xml:space="preserve">PO-03</t>
  </si>
  <si>
    <t xml:space="preserve">Surge Vial</t>
  </si>
  <si>
    <t xml:space="preserve">Gain 2 Energy.</t>
  </si>
  <si>
    <t xml:space="preserve">Fizzes when uncorked. Tastes like copper.</t>
  </si>
  <si>
    <t xml:space="preserve">PO-04</t>
  </si>
  <si>
    <t xml:space="preserve">Kindling Flask</t>
  </si>
  <si>
    <t xml:space="preserve">Debuff</t>
  </si>
  <si>
    <t xml:space="preserve">Apply Ignite 4 to all enemies.</t>
  </si>
  <si>
    <t xml:space="preserve">Pyroclast</t>
  </si>
  <si>
    <t xml:space="preserve">Sealed Pyroclast firestarter.</t>
  </si>
  <si>
    <t xml:space="preserve">PO-05</t>
  </si>
  <si>
    <t xml:space="preserve">Focus Tincture</t>
  </si>
  <si>
    <t xml:space="preserve">Buff</t>
  </si>
  <si>
    <t xml:space="preserve">Gain 2 Strength this combat.</t>
  </si>
  <si>
    <t xml:space="preserve">Cool, blue-green, faintly luminescent.</t>
  </si>
  <si>
    <t xml:space="preserve">PO-06</t>
  </si>
  <si>
    <t xml:space="preserve">Stoneblood Elixir</t>
  </si>
  <si>
    <t xml:space="preserve">Gain 2 Dexterity this combat.</t>
  </si>
  <si>
    <t xml:space="preserve">Heavy bottle, rust-colored contents.</t>
  </si>
  <si>
    <t xml:space="preserve">PO-07</t>
  </si>
  <si>
    <t xml:space="preserve">Cleansing Draft</t>
  </si>
  <si>
    <t xml:space="preserve">Utility</t>
  </si>
  <si>
    <t xml:space="preserve">Remove all debuffs from yourself.</t>
  </si>
  <si>
    <t xml:space="preserve">Smells like ozone before a storm.</t>
  </si>
  <si>
    <t xml:space="preserve">PO-08</t>
  </si>
  <si>
    <t xml:space="preserve">Forgefire Flask</t>
  </si>
  <si>
    <t xml:space="preserve">Uncommon</t>
  </si>
  <si>
    <t xml:space="preserve">Damage</t>
  </si>
  <si>
    <t xml:space="preserve">Deal 20 damage to target enemy. Gain 3 Heat.</t>
  </si>
  <si>
    <t xml:space="preserve">Glows from within. Warm even through the glass.</t>
  </si>
  <si>
    <t xml:space="preserve">PO-09</t>
  </si>
  <si>
    <t xml:space="preserve">Lumen Infusion</t>
  </si>
  <si>
    <t xml:space="preserve">Add 3 Lumens distributed freely across Channel cards in hand. If no Channel cards in hand, gain 12 Block instead.</t>
  </si>
  <si>
    <t xml:space="preserve">Luminar</t>
  </si>
  <si>
    <t xml:space="preserve">A bottle of captured sunrise.</t>
  </si>
  <si>
    <t xml:space="preserve">PO-10</t>
  </si>
  <si>
    <t xml:space="preserve">Wyrmfire Breath</t>
  </si>
  <si>
    <t xml:space="preserve">Deal 10 damage to all enemies. Apply Ignite 2 to all.</t>
  </si>
  <si>
    <t xml:space="preserve">Do not inhale.</t>
  </si>
  <si>
    <t xml:space="preserve">PO-11</t>
  </si>
  <si>
    <t xml:space="preserve">Aegis Mixture</t>
  </si>
  <si>
    <t xml:space="preserve">Gain 20 Block. Next turn, gain 20 Block.</t>
  </si>
  <si>
    <t xml:space="preserve">Thick silver liquid, reflects no light.</t>
  </si>
  <si>
    <t xml:space="preserve">PO-12</t>
  </si>
  <si>
    <t xml:space="preserve">Tactician's Brew</t>
  </si>
  <si>
    <t xml:space="preserve">Draw 4 cards. Gain 1 Energy.</t>
  </si>
  <si>
    <t xml:space="preserve">Clear liquid, smells like nothing.</t>
  </si>
  <si>
    <t xml:space="preserve">PO-13</t>
  </si>
  <si>
    <t xml:space="preserve">Phoenix Vial</t>
  </si>
  <si>
    <t xml:space="preserve">Rare</t>
  </si>
  <si>
    <t xml:space="preserve">Recovery</t>
  </si>
  <si>
    <t xml:space="preserve">Heal to full HP. Exhaust all cards in your hand.</t>
  </si>
  <si>
    <t xml:space="preserve">The bottle is warm. A single spark moves inside it, never dying.</t>
  </si>
  <si>
    <t xml:space="preserve">PO-14</t>
  </si>
  <si>
    <t xml:space="preserve">Chronoshift Philter</t>
  </si>
  <si>
    <t xml:space="preserve">Extreme</t>
  </si>
  <si>
    <t xml:space="preserve">Take another turn immediately after this one. All cards in your hand are replaced with a new random draw.</t>
  </si>
  <si>
    <t xml:space="preserve">Warp Riders</t>
  </si>
  <si>
    <t xml:space="preserve">Liquid that seems to flow backward in the bottle.</t>
  </si>
  <si>
    <t xml:space="preserve">Potion Pool — Summary</t>
  </si>
  <si>
    <t xml:space="preserve">Count</t>
  </si>
  <si>
    <t xml:space="preserve">Drop Weight</t>
  </si>
  <si>
    <t xml:space="preserve">65%</t>
  </si>
  <si>
    <t xml:space="preserve">28%</t>
  </si>
  <si>
    <t xml:space="preserve">7%</t>
  </si>
  <si>
    <t xml:space="preserve">Total</t>
  </si>
  <si>
    <t xml:space="preserve">Potion Inventory &amp; Acquisition</t>
  </si>
  <si>
    <t xml:space="preserve">Rule</t>
  </si>
  <si>
    <t xml:space="preserve">Value</t>
  </si>
  <si>
    <t xml:space="preserve">Notes</t>
  </si>
  <si>
    <t xml:space="preserve">Max slots</t>
  </si>
  <si>
    <t xml:space="preserve">3</t>
  </si>
  <si>
    <t xml:space="preserve">Visible in combat HUD at all times. Empty slots render as empty bottles.</t>
  </si>
  <si>
    <t xml:space="preserve">Use timing</t>
  </si>
  <si>
    <t xml:space="preserve">Player turn only</t>
  </si>
  <si>
    <t xml:space="preserve">Not during enemy turn. Not mid-card-resolution.</t>
  </si>
  <si>
    <t xml:space="preserve">Cost</t>
  </si>
  <si>
    <t xml:space="preserve">0 Energy</t>
  </si>
  <si>
    <t xml:space="preserve">Using a potion is not a card play. Relics on "card played" do NOT trigger.</t>
  </si>
  <si>
    <t xml:space="preserve">Combat drop rate</t>
  </si>
  <si>
    <t xml:space="preserve">~40%</t>
  </si>
  <si>
    <t xml:space="preserve">Roughly 2 of 5 combats drop a potion.</t>
  </si>
  <si>
    <t xml:space="preserve">Elite drop</t>
  </si>
  <si>
    <t xml:space="preserve">Always</t>
  </si>
  <si>
    <t xml:space="preserve">Every elite fight drops a potion.</t>
  </si>
  <si>
    <t xml:space="preserve">Shop price — Act 1</t>
  </si>
  <si>
    <t xml:space="preserve">50 gold</t>
  </si>
  <si>
    <t xml:space="preserve">Alongside cards and relics.</t>
  </si>
  <si>
    <t xml:space="preserve">Shop price — Act 2</t>
  </si>
  <si>
    <t xml:space="preserve">75 gold</t>
  </si>
  <si>
    <t xml:space="preserve">Shop price — Act 3</t>
  </si>
  <si>
    <t xml:space="preserve">100 gold</t>
  </si>
  <si>
    <t xml:space="preserve">Full-inventory pickup</t>
  </si>
  <si>
    <t xml:space="preserve">Choose 1 to discard</t>
  </si>
  <si>
    <t xml:space="preserve">No forced losses — player always chooses.</t>
  </si>
  <si>
    <t xml:space="preserve">Anomaly rewards</t>
  </si>
  <si>
    <t xml:space="preserve">Some grant potions</t>
  </si>
  <si>
    <t xml:space="preserve">E.g., Gyrospore Bloom — "Harvest" option.</t>
  </si>
  <si>
    <t xml:space="preserve">Best-in-Class Potions Per Faction</t>
  </si>
  <si>
    <t xml:space="preserve">No potion is hard-gated to a class. This is "where each potion shines."</t>
  </si>
  <si>
    <t xml:space="preserve">Faction</t>
  </si>
  <si>
    <t xml:space="preserve">Best Potions</t>
  </si>
  <si>
    <t xml:space="preserve">Why</t>
  </si>
  <si>
    <t xml:space="preserve">Kindling Flask, Forgefire Flask</t>
  </si>
  <si>
    <t xml:space="preserve">DoT spreading and Heat generation synergy.</t>
  </si>
  <si>
    <t xml:space="preserve">Lumen Infusion, Swift Brew, Tactician's Brew</t>
  </si>
  <si>
    <t xml:space="preserve">Draw-heavy deck, Channel card enablement.</t>
  </si>
  <si>
    <t xml:space="preserve">Cogsmiths</t>
  </si>
  <si>
    <t xml:space="preserve">Surge Vial, Tactician's Brew</t>
  </si>
  <si>
    <t xml:space="preserve">Energy/draw enables cheap-card cycling combos.</t>
  </si>
  <si>
    <t xml:space="preserve">Cleansing Draft, Chronoshift Philter</t>
  </si>
  <si>
    <t xml:space="preserve">Pivot tools against bad Flux rolls.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</si>
</sst>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2C2A"/>
        <bgColor rgb="FF333300"/>
      </patternFill>
    </fill>
    <fill>
      <patternFill patternType="solid">
        <fgColor rgb="FFE8E8E8"/>
        <bgColor rgb="FFFFFFFF"/>
      </patternFill>
    </fill>
    <fill>
      <patternFill patternType="solid">
        <fgColor rgb="FFC4D9F0"/>
        <bgColor rgb="FFE8E8E8"/>
      </patternFill>
    </fill>
    <fill>
      <patternFill patternType="solid">
        <fgColor rgb="FFF5D98A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4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D98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4" min="3" style="0" width="11"/>
    <col collapsed="false" customWidth="true" hidden="false" outlineLevel="0" max="5" min="5" style="0" width="55"/>
    <col collapsed="false" customWidth="true" hidden="false" outlineLevel="0" max="6" min="6" style="0" width="15"/>
    <col collapsed="false" customWidth="true" hidden="false" outlineLevel="0" max="7" min="7" style="0" width="4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42" hidden="false" customHeight="true" outlineLevel="0" collapsed="false">
      <c r="A5" s="4" t="s">
        <v>9</v>
      </c>
      <c r="B5" s="5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42" hidden="false" customHeight="true" outlineLevel="0" collapsed="false">
      <c r="A6" s="4" t="s">
        <v>16</v>
      </c>
      <c r="B6" s="5" t="s">
        <v>17</v>
      </c>
      <c r="C6" s="4" t="s">
        <v>11</v>
      </c>
      <c r="D6" s="4" t="s">
        <v>18</v>
      </c>
      <c r="E6" s="4" t="s">
        <v>19</v>
      </c>
      <c r="F6" s="4" t="s">
        <v>14</v>
      </c>
      <c r="G6" s="4" t="s">
        <v>20</v>
      </c>
    </row>
    <row r="7" customFormat="false" ht="42" hidden="false" customHeight="true" outlineLevel="0" collapsed="false">
      <c r="A7" s="4" t="s">
        <v>21</v>
      </c>
      <c r="B7" s="5" t="s">
        <v>22</v>
      </c>
      <c r="C7" s="4" t="s">
        <v>11</v>
      </c>
      <c r="D7" s="4" t="s">
        <v>18</v>
      </c>
      <c r="E7" s="4" t="s">
        <v>23</v>
      </c>
      <c r="F7" s="4" t="s">
        <v>14</v>
      </c>
      <c r="G7" s="4" t="s">
        <v>24</v>
      </c>
    </row>
    <row r="8" customFormat="false" ht="42" hidden="false" customHeight="true" outlineLevel="0" collapsed="false">
      <c r="A8" s="4" t="s">
        <v>25</v>
      </c>
      <c r="B8" s="5" t="s">
        <v>26</v>
      </c>
      <c r="C8" s="4" t="s">
        <v>11</v>
      </c>
      <c r="D8" s="4" t="s">
        <v>27</v>
      </c>
      <c r="E8" s="4" t="s">
        <v>28</v>
      </c>
      <c r="F8" s="4" t="s">
        <v>29</v>
      </c>
      <c r="G8" s="4" t="s">
        <v>30</v>
      </c>
    </row>
    <row r="9" customFormat="false" ht="42" hidden="false" customHeight="true" outlineLevel="0" collapsed="false">
      <c r="A9" s="4" t="s">
        <v>31</v>
      </c>
      <c r="B9" s="5" t="s">
        <v>32</v>
      </c>
      <c r="C9" s="4" t="s">
        <v>11</v>
      </c>
      <c r="D9" s="4" t="s">
        <v>33</v>
      </c>
      <c r="E9" s="4" t="s">
        <v>34</v>
      </c>
      <c r="F9" s="4" t="s">
        <v>14</v>
      </c>
      <c r="G9" s="4" t="s">
        <v>35</v>
      </c>
    </row>
    <row r="10" customFormat="false" ht="42" hidden="false" customHeight="true" outlineLevel="0" collapsed="false">
      <c r="A10" s="4" t="s">
        <v>36</v>
      </c>
      <c r="B10" s="5" t="s">
        <v>37</v>
      </c>
      <c r="C10" s="4" t="s">
        <v>11</v>
      </c>
      <c r="D10" s="4" t="s">
        <v>33</v>
      </c>
      <c r="E10" s="4" t="s">
        <v>38</v>
      </c>
      <c r="F10" s="4" t="s">
        <v>14</v>
      </c>
      <c r="G10" s="4" t="s">
        <v>39</v>
      </c>
    </row>
    <row r="11" customFormat="false" ht="42" hidden="false" customHeight="true" outlineLevel="0" collapsed="false">
      <c r="A11" s="4" t="s">
        <v>40</v>
      </c>
      <c r="B11" s="5" t="s">
        <v>41</v>
      </c>
      <c r="C11" s="4" t="s">
        <v>11</v>
      </c>
      <c r="D11" s="4" t="s">
        <v>42</v>
      </c>
      <c r="E11" s="4" t="s">
        <v>43</v>
      </c>
      <c r="F11" s="4" t="s">
        <v>14</v>
      </c>
      <c r="G11" s="4" t="s">
        <v>44</v>
      </c>
    </row>
    <row r="12" customFormat="false" ht="42" hidden="false" customHeight="true" outlineLevel="0" collapsed="false">
      <c r="A12" s="6" t="s">
        <v>45</v>
      </c>
      <c r="B12" s="7" t="s">
        <v>46</v>
      </c>
      <c r="C12" s="6" t="s">
        <v>47</v>
      </c>
      <c r="D12" s="6" t="s">
        <v>48</v>
      </c>
      <c r="E12" s="6" t="s">
        <v>49</v>
      </c>
      <c r="F12" s="6" t="s">
        <v>29</v>
      </c>
      <c r="G12" s="6" t="s">
        <v>50</v>
      </c>
    </row>
    <row r="13" customFormat="false" ht="42" hidden="false" customHeight="true" outlineLevel="0" collapsed="false">
      <c r="A13" s="6" t="s">
        <v>51</v>
      </c>
      <c r="B13" s="7" t="s">
        <v>52</v>
      </c>
      <c r="C13" s="6" t="s">
        <v>47</v>
      </c>
      <c r="D13" s="6" t="s">
        <v>42</v>
      </c>
      <c r="E13" s="6" t="s">
        <v>53</v>
      </c>
      <c r="F13" s="6" t="s">
        <v>54</v>
      </c>
      <c r="G13" s="6" t="s">
        <v>55</v>
      </c>
    </row>
    <row r="14" customFormat="false" ht="42" hidden="false" customHeight="true" outlineLevel="0" collapsed="false">
      <c r="A14" s="6" t="s">
        <v>56</v>
      </c>
      <c r="B14" s="7" t="s">
        <v>57</v>
      </c>
      <c r="C14" s="6" t="s">
        <v>47</v>
      </c>
      <c r="D14" s="6" t="s">
        <v>48</v>
      </c>
      <c r="E14" s="6" t="s">
        <v>58</v>
      </c>
      <c r="F14" s="6" t="s">
        <v>14</v>
      </c>
      <c r="G14" s="6" t="s">
        <v>59</v>
      </c>
    </row>
    <row r="15" customFormat="false" ht="42" hidden="false" customHeight="true" outlineLevel="0" collapsed="false">
      <c r="A15" s="6" t="s">
        <v>60</v>
      </c>
      <c r="B15" s="7" t="s">
        <v>61</v>
      </c>
      <c r="C15" s="6" t="s">
        <v>47</v>
      </c>
      <c r="D15" s="6" t="s">
        <v>12</v>
      </c>
      <c r="E15" s="6" t="s">
        <v>62</v>
      </c>
      <c r="F15" s="6" t="s">
        <v>14</v>
      </c>
      <c r="G15" s="6" t="s">
        <v>63</v>
      </c>
    </row>
    <row r="16" customFormat="false" ht="42" hidden="false" customHeight="true" outlineLevel="0" collapsed="false">
      <c r="A16" s="6" t="s">
        <v>64</v>
      </c>
      <c r="B16" s="7" t="s">
        <v>65</v>
      </c>
      <c r="C16" s="6" t="s">
        <v>47</v>
      </c>
      <c r="D16" s="6" t="s">
        <v>18</v>
      </c>
      <c r="E16" s="6" t="s">
        <v>66</v>
      </c>
      <c r="F16" s="6" t="s">
        <v>14</v>
      </c>
      <c r="G16" s="6" t="s">
        <v>67</v>
      </c>
    </row>
    <row r="17" customFormat="false" ht="42" hidden="false" customHeight="true" outlineLevel="0" collapsed="false">
      <c r="A17" s="8" t="s">
        <v>68</v>
      </c>
      <c r="B17" s="9" t="s">
        <v>69</v>
      </c>
      <c r="C17" s="8" t="s">
        <v>70</v>
      </c>
      <c r="D17" s="8" t="s">
        <v>71</v>
      </c>
      <c r="E17" s="8" t="s">
        <v>72</v>
      </c>
      <c r="F17" s="8" t="s">
        <v>14</v>
      </c>
      <c r="G17" s="8" t="s">
        <v>73</v>
      </c>
    </row>
    <row r="18" customFormat="false" ht="42" hidden="false" customHeight="true" outlineLevel="0" collapsed="false">
      <c r="A18" s="8" t="s">
        <v>74</v>
      </c>
      <c r="B18" s="9" t="s">
        <v>75</v>
      </c>
      <c r="C18" s="8" t="s">
        <v>70</v>
      </c>
      <c r="D18" s="8" t="s">
        <v>76</v>
      </c>
      <c r="E18" s="8" t="s">
        <v>77</v>
      </c>
      <c r="F18" s="8" t="s">
        <v>78</v>
      </c>
      <c r="G18" s="8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7.35" hidden="false" customHeight="false" outlineLevel="0" collapsed="false">
      <c r="A1" s="1" t="s">
        <v>80</v>
      </c>
    </row>
    <row r="3" customFormat="false" ht="15" hidden="false" customHeight="false" outlineLevel="0" collapsed="false">
      <c r="A3" s="3" t="s">
        <v>4</v>
      </c>
      <c r="B3" s="3" t="s">
        <v>81</v>
      </c>
      <c r="C3" s="3" t="s">
        <v>82</v>
      </c>
      <c r="E3" s="3" t="s">
        <v>5</v>
      </c>
      <c r="F3" s="3" t="s">
        <v>81</v>
      </c>
    </row>
    <row r="4" customFormat="false" ht="15" hidden="false" customHeight="false" outlineLevel="0" collapsed="false">
      <c r="A4" s="5" t="s">
        <v>11</v>
      </c>
      <c r="B4" s="4" t="n">
        <v>7</v>
      </c>
      <c r="C4" s="4" t="s">
        <v>83</v>
      </c>
      <c r="E4" s="10" t="s">
        <v>12</v>
      </c>
      <c r="F4" s="10" t="n">
        <f aca="false">COUNTIF(Potions!D:D,"Defense")</f>
        <v>2</v>
      </c>
    </row>
    <row r="5" customFormat="false" ht="15" hidden="false" customHeight="false" outlineLevel="0" collapsed="false">
      <c r="A5" s="7" t="s">
        <v>47</v>
      </c>
      <c r="B5" s="6" t="n">
        <v>5</v>
      </c>
      <c r="C5" s="6" t="s">
        <v>84</v>
      </c>
      <c r="E5" s="10" t="s">
        <v>18</v>
      </c>
      <c r="F5" s="10" t="n">
        <f aca="false">COUNTIF(Potions!D:D,"Tempo")</f>
        <v>3</v>
      </c>
    </row>
    <row r="6" customFormat="false" ht="15" hidden="false" customHeight="false" outlineLevel="0" collapsed="false">
      <c r="A6" s="9" t="s">
        <v>70</v>
      </c>
      <c r="B6" s="8" t="n">
        <v>2</v>
      </c>
      <c r="C6" s="8" t="s">
        <v>85</v>
      </c>
      <c r="E6" s="10" t="s">
        <v>48</v>
      </c>
      <c r="F6" s="10" t="n">
        <f aca="false">COUNTIF(Potions!D:D,"Damage")</f>
        <v>2</v>
      </c>
    </row>
    <row r="7" customFormat="false" ht="15" hidden="false" customHeight="false" outlineLevel="0" collapsed="false">
      <c r="E7" s="10" t="s">
        <v>33</v>
      </c>
      <c r="F7" s="10" t="n">
        <f aca="false">COUNTIF(Potions!D:D,"Buff")</f>
        <v>2</v>
      </c>
    </row>
    <row r="8" customFormat="false" ht="15" hidden="false" customHeight="false" outlineLevel="0" collapsed="false">
      <c r="A8" s="11" t="s">
        <v>86</v>
      </c>
      <c r="B8" s="11" t="n">
        <f aca="false">SUM(B4:B6)</f>
        <v>14</v>
      </c>
      <c r="E8" s="10" t="s">
        <v>27</v>
      </c>
      <c r="F8" s="10" t="n">
        <f aca="false">COUNTIF(Potions!D:D,"Debuff")</f>
        <v>1</v>
      </c>
    </row>
    <row r="9" customFormat="false" ht="15" hidden="false" customHeight="false" outlineLevel="0" collapsed="false">
      <c r="E9" s="10" t="s">
        <v>42</v>
      </c>
      <c r="F9" s="10" t="n">
        <f aca="false">COUNTIF(Potions!D:D,"Utility")</f>
        <v>2</v>
      </c>
    </row>
    <row r="10" customFormat="false" ht="15" hidden="false" customHeight="false" outlineLevel="0" collapsed="false">
      <c r="E10" s="10" t="s">
        <v>71</v>
      </c>
      <c r="F10" s="10" t="n">
        <f aca="false">COUNTIF(Potions!D:D,"Recovery")</f>
        <v>1</v>
      </c>
    </row>
    <row r="11" customFormat="false" ht="15" hidden="false" customHeight="false" outlineLevel="0" collapsed="false">
      <c r="E11" s="10" t="s">
        <v>76</v>
      </c>
      <c r="F11" s="10" t="n">
        <f aca="false">COUNTIF(Potions!D:D,"Extreme")</f>
        <v>1</v>
      </c>
    </row>
    <row r="12" customFormat="false" ht="15" hidden="false" customHeight="false" outlineLevel="0" collapsed="false">
      <c r="A12" s="3" t="s">
        <v>7</v>
      </c>
      <c r="B12" s="3" t="s">
        <v>81</v>
      </c>
    </row>
    <row r="13" customFormat="false" ht="15" hidden="false" customHeight="false" outlineLevel="0" collapsed="false">
      <c r="A13" s="10" t="s">
        <v>14</v>
      </c>
      <c r="B13" s="10" t="n">
        <f aca="false">COUNTIF(Potions!F:F,"None")</f>
        <v>10</v>
      </c>
    </row>
    <row r="14" customFormat="false" ht="15" hidden="false" customHeight="false" outlineLevel="0" collapsed="false">
      <c r="A14" s="10" t="s">
        <v>29</v>
      </c>
      <c r="B14" s="10" t="n">
        <f aca="false">COUNTIF(Potions!F:F,"Pyroclast")</f>
        <v>2</v>
      </c>
    </row>
    <row r="15" customFormat="false" ht="15" hidden="false" customHeight="false" outlineLevel="0" collapsed="false">
      <c r="A15" s="10" t="s">
        <v>54</v>
      </c>
      <c r="B15" s="10" t="n">
        <f aca="false">COUNTIF(Potions!F:F,"Luminar")</f>
        <v>1</v>
      </c>
    </row>
    <row r="16" customFormat="false" ht="15" hidden="false" customHeight="false" outlineLevel="0" collapsed="false">
      <c r="A16" s="10" t="s">
        <v>78</v>
      </c>
      <c r="B16" s="10" t="n">
        <f aca="false">COUNTIF(Potions!F:F,"Warp Riders")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87</v>
      </c>
    </row>
    <row r="3" customFormat="false" ht="15" hidden="false" customHeight="false" outlineLevel="0" collapsed="false">
      <c r="A3" s="3" t="s">
        <v>88</v>
      </c>
      <c r="B3" s="3" t="s">
        <v>89</v>
      </c>
      <c r="C3" s="3" t="s">
        <v>90</v>
      </c>
    </row>
    <row r="4" customFormat="false" ht="23.85" hidden="false" customHeight="false" outlineLevel="0" collapsed="false">
      <c r="A4" s="12" t="s">
        <v>91</v>
      </c>
      <c r="B4" s="13" t="s">
        <v>92</v>
      </c>
      <c r="C4" s="13" t="s">
        <v>93</v>
      </c>
    </row>
    <row r="5" customFormat="false" ht="15" hidden="false" customHeight="false" outlineLevel="0" collapsed="false">
      <c r="A5" s="12" t="s">
        <v>94</v>
      </c>
      <c r="B5" s="13" t="s">
        <v>95</v>
      </c>
      <c r="C5" s="13" t="s">
        <v>96</v>
      </c>
    </row>
    <row r="6" customFormat="false" ht="23.85" hidden="false" customHeight="false" outlineLevel="0" collapsed="false">
      <c r="A6" s="12" t="s">
        <v>97</v>
      </c>
      <c r="B6" s="13" t="s">
        <v>98</v>
      </c>
      <c r="C6" s="13" t="s">
        <v>99</v>
      </c>
    </row>
    <row r="7" customFormat="false" ht="15" hidden="false" customHeight="false" outlineLevel="0" collapsed="false">
      <c r="A7" s="12" t="s">
        <v>100</v>
      </c>
      <c r="B7" s="13" t="s">
        <v>101</v>
      </c>
      <c r="C7" s="13" t="s">
        <v>102</v>
      </c>
    </row>
    <row r="8" customFormat="false" ht="15" hidden="false" customHeight="false" outlineLevel="0" collapsed="false">
      <c r="A8" s="12" t="s">
        <v>103</v>
      </c>
      <c r="B8" s="13" t="s">
        <v>104</v>
      </c>
      <c r="C8" s="13" t="s">
        <v>105</v>
      </c>
    </row>
    <row r="9" customFormat="false" ht="15" hidden="false" customHeight="false" outlineLevel="0" collapsed="false">
      <c r="A9" s="12" t="s">
        <v>106</v>
      </c>
      <c r="B9" s="13" t="s">
        <v>107</v>
      </c>
      <c r="C9" s="13" t="s">
        <v>108</v>
      </c>
    </row>
    <row r="10" customFormat="false" ht="15" hidden="false" customHeight="false" outlineLevel="0" collapsed="false">
      <c r="A10" s="12" t="s">
        <v>109</v>
      </c>
      <c r="B10" s="13" t="s">
        <v>110</v>
      </c>
      <c r="C10" s="13"/>
    </row>
    <row r="11" customFormat="false" ht="15" hidden="false" customHeight="false" outlineLevel="0" collapsed="false">
      <c r="A11" s="12" t="s">
        <v>111</v>
      </c>
      <c r="B11" s="13" t="s">
        <v>112</v>
      </c>
      <c r="C11" s="13"/>
    </row>
    <row r="12" customFormat="false" ht="15" hidden="false" customHeight="false" outlineLevel="0" collapsed="false">
      <c r="A12" s="12" t="s">
        <v>113</v>
      </c>
      <c r="B12" s="13" t="s">
        <v>114</v>
      </c>
      <c r="C12" s="13" t="s">
        <v>115</v>
      </c>
    </row>
    <row r="13" customFormat="false" ht="15" hidden="false" customHeight="false" outlineLevel="0" collapsed="false">
      <c r="A13" s="12" t="s">
        <v>116</v>
      </c>
      <c r="B13" s="13" t="s">
        <v>117</v>
      </c>
      <c r="C13" s="13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3" t="s">
        <v>121</v>
      </c>
      <c r="B4" s="3" t="s">
        <v>122</v>
      </c>
      <c r="C4" s="3" t="s">
        <v>123</v>
      </c>
    </row>
    <row r="5" customFormat="false" ht="36" hidden="false" customHeight="true" outlineLevel="0" collapsed="false">
      <c r="A5" s="12" t="s">
        <v>29</v>
      </c>
      <c r="B5" s="13" t="s">
        <v>124</v>
      </c>
      <c r="C5" s="13" t="s">
        <v>125</v>
      </c>
    </row>
    <row r="6" customFormat="false" ht="36" hidden="false" customHeight="true" outlineLevel="0" collapsed="false">
      <c r="A6" s="12" t="s">
        <v>54</v>
      </c>
      <c r="B6" s="13" t="s">
        <v>126</v>
      </c>
      <c r="C6" s="13" t="s">
        <v>127</v>
      </c>
    </row>
    <row r="7" customFormat="false" ht="36" hidden="false" customHeight="true" outlineLevel="0" collapsed="false">
      <c r="A7" s="12" t="s">
        <v>128</v>
      </c>
      <c r="B7" s="13" t="s">
        <v>129</v>
      </c>
      <c r="C7" s="13" t="s">
        <v>130</v>
      </c>
    </row>
    <row r="8" customFormat="false" ht="36" hidden="false" customHeight="true" outlineLevel="0" collapsed="false">
      <c r="A8" s="12" t="s">
        <v>78</v>
      </c>
      <c r="B8" s="13" t="s">
        <v>131</v>
      </c>
      <c r="C8" s="1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2026-04-22T19:57:52Z</dcterms:created>
  <dc:creator>openpyxl</dc:creator>
  <dc:description/>
  <dc:language>en-US</dc:language>
  <cp:lastModifiedBy/>
  <dcterms:modified xsi:type="dcterms:W3CDTF">2026-04-22T19:57:52Z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