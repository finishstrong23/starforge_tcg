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ics" sheetId="1" state="visible" r:id="rId3"/>
    <sheet name="Summary" sheetId="2" state="visible" r:id="rId4"/>
    <sheet name="Starter Relics" sheetId="3" state="visible" r:id="rId5"/>
    <sheet name="Boss Relics" sheetId="4" state="visible" r:id="rId6"/>
    <sheet name="Anomaly Integr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<sst xmlns="http://schemas.openxmlformats.org/spreadsheetml/2006/main" count="275" uniqueCount="196">
  <si>
    <t xml:space="preserve">Shattered Reach — Relic Pool (25 entries)</t>
  </si>
  <si>
    <t xml:space="preserve">ID</t>
  </si>
  <si>
    <t xml:space="preserve">Name</t>
  </si>
  <si>
    <t xml:space="preserve">Tier</t>
  </si>
  <si>
    <t xml:space="preserve">Faction Affinity</t>
  </si>
  <si>
    <t xml:space="preserve">Trigger Phase</t>
  </si>
  <si>
    <t xml:space="preserve">Effect</t>
  </si>
  <si>
    <t xml:space="preserve">Flavor</t>
  </si>
  <si>
    <t xml:space="preserve">R-S01</t>
  </si>
  <si>
    <t xml:space="preserve">Forgeheart Ember</t>
  </si>
  <si>
    <t xml:space="preserve">Starter</t>
  </si>
  <si>
    <t xml:space="preserve">Pyroclast</t>
  </si>
  <si>
    <t xml:space="preserve">combat_start</t>
  </si>
  <si>
    <t xml:space="preserve">Combat start: gain 2 Heat.</t>
  </si>
  <si>
    <t xml:space="preserve">The dying coal from your father's forge, still warm.</t>
  </si>
  <si>
    <t xml:space="preserve">R-S02</t>
  </si>
  <si>
    <t xml:space="preserve">Pattern Caliper</t>
  </si>
  <si>
    <t xml:space="preserve">Cogsmiths</t>
  </si>
  <si>
    <t xml:space="preserve">passive</t>
  </si>
  <si>
    <t xml:space="preserve">The first Augment attached to each card in your deck costs 0.</t>
  </si>
  <si>
    <t xml:space="preserve">A gauge for measuring modifications. Inherited.</t>
  </si>
  <si>
    <t xml:space="preserve">R-S03</t>
  </si>
  <si>
    <t xml:space="preserve">Suncaller's Lens</t>
  </si>
  <si>
    <t xml:space="preserve">Luminar</t>
  </si>
  <si>
    <t xml:space="preserve">All Channel cards in hand have +1 Max Lumens.</t>
  </si>
  <si>
    <t xml:space="preserve">Focuses the morning light through prayer.</t>
  </si>
  <si>
    <t xml:space="preserve">R-S04</t>
  </si>
  <si>
    <t xml:space="preserve">Navigator's Bone</t>
  </si>
  <si>
    <t xml:space="preserve">Warp Riders</t>
  </si>
  <si>
    <t xml:space="preserve">per_combat</t>
  </si>
  <si>
    <t xml:space="preserve">Once per combat, force-reroll one Flux card in hand.</t>
  </si>
  <si>
    <t xml:space="preserve">A Warp Rider finger bone, still warm.</t>
  </si>
  <si>
    <t xml:space="preserve">R-C01</t>
  </si>
  <si>
    <t xml:space="preserve">Ironbark Amulet</t>
  </si>
  <si>
    <t xml:space="preserve">Common</t>
  </si>
  <si>
    <t xml:space="preserve">None</t>
  </si>
  <si>
    <t xml:space="preserve">Max HP +8.</t>
  </si>
  <si>
    <t xml:space="preserve">Dense wood plating from a Bloodoak tree, cured in ash.</t>
  </si>
  <si>
    <t xml:space="preserve">R-C02</t>
  </si>
  <si>
    <t xml:space="preserve">Fueled Boots</t>
  </si>
  <si>
    <t xml:space="preserve">Gain 1 Energy on the first turn of every combat.</t>
  </si>
  <si>
    <t xml:space="preserve">Pyroclast-forged, hum when you walk.</t>
  </si>
  <si>
    <t xml:space="preserve">R-C03</t>
  </si>
  <si>
    <t xml:space="preserve">Stasis Cube</t>
  </si>
  <si>
    <t xml:space="preserve">Add 1 random Block card to your hand.</t>
  </si>
  <si>
    <t xml:space="preserve">A 2-inch cube that vibrates at a frequency just below hearing.</t>
  </si>
  <si>
    <t xml:space="preserve">R-C04</t>
  </si>
  <si>
    <t xml:space="preserve">Preserver's Salve</t>
  </si>
  <si>
    <t xml:space="preserve">combat_end</t>
  </si>
  <si>
    <t xml:space="preserve">Heal 2 HP.</t>
  </si>
  <si>
    <t xml:space="preserve">Stolen from a Luminar infirmary.</t>
  </si>
  <si>
    <t xml:space="preserve">R-C05</t>
  </si>
  <si>
    <t xml:space="preserve">Archivist's Orb</t>
  </si>
  <si>
    <t xml:space="preserve">Draw 1 additional card.</t>
  </si>
  <si>
    <t xml:space="preserve">A recording device that remembers only the strong.</t>
  </si>
  <si>
    <t xml:space="preserve">R-C06</t>
  </si>
  <si>
    <t xml:space="preserve">Stasis Coil</t>
  </si>
  <si>
    <t xml:space="preserve">card_played</t>
  </si>
  <si>
    <t xml:space="preserve">10% chance: the card played costs 1 less this turn.</t>
  </si>
  <si>
    <t xml:space="preserve">Wraps around your arm. Cold to the touch.</t>
  </si>
  <si>
    <t xml:space="preserve">R-C07</t>
  </si>
  <si>
    <t xml:space="preserve">Gutterspeak Coin</t>
  </si>
  <si>
    <t xml:space="preserve">Gain 1 gold.</t>
  </si>
  <si>
    <t xml:space="preserve">A coin from a faction that no longer exists.</t>
  </si>
  <si>
    <t xml:space="preserve">R-C08</t>
  </si>
  <si>
    <t xml:space="preserve">Sparkthief's Glove</t>
  </si>
  <si>
    <t xml:space="preserve">Once per combat, the first Attack you play deals +3 damage.</t>
  </si>
  <si>
    <t xml:space="preserve">Charges from electrical ambient. Crackles softly.</t>
  </si>
  <si>
    <t xml:space="preserve">R-U01</t>
  </si>
  <si>
    <t xml:space="preserve">Forgemaster's Sigil</t>
  </si>
  <si>
    <t xml:space="preserve">Uncommon</t>
  </si>
  <si>
    <t xml:space="preserve">The first card you play each combat is temporarily augmented with +2 damage or +2 Block.</t>
  </si>
  <si>
    <t xml:space="preserve">Brand of a Cogsmith master artisan.</t>
  </si>
  <si>
    <t xml:space="preserve">R-U02</t>
  </si>
  <si>
    <t xml:space="preserve">Starseer's Pendant</t>
  </si>
  <si>
    <t xml:space="preserve">card_retained</t>
  </si>
  <si>
    <t xml:space="preserve">Whenever you retain a card between turns, gain 1 Block.</t>
  </si>
  <si>
    <t xml:space="preserve">Crystallized starlight. Warm to the touch.</t>
  </si>
  <si>
    <t xml:space="preserve">R-U03</t>
  </si>
  <si>
    <t xml:space="preserve">Void Compass</t>
  </si>
  <si>
    <t xml:space="preserve">Preview the first enemy's telegraphed action for the next 3 turns.</t>
  </si>
  <si>
    <t xml:space="preserve">Points at something, but not north.</t>
  </si>
  <si>
    <t xml:space="preserve">R-U04</t>
  </si>
  <si>
    <t xml:space="preserve">Overclocked Core</t>
  </si>
  <si>
    <t xml:space="preserve">Gain 1 additional Energy at combat start. Lose 5 Max HP (permanent).</t>
  </si>
  <si>
    <t xml:space="preserve">A reactor chip that has forgotten how to be safe.</t>
  </si>
  <si>
    <t xml:space="preserve">R-U05</t>
  </si>
  <si>
    <t xml:space="preserve">Cursebreaker's Medallion</t>
  </si>
  <si>
    <t xml:space="preserve">Remove one random debuff status from your hand.</t>
  </si>
  <si>
    <t xml:space="preserve">Burns away what shouldn't be on you.</t>
  </si>
  <si>
    <t xml:space="preserve">R-R01</t>
  </si>
  <si>
    <t xml:space="preserve">Crown of the Unburnt</t>
  </si>
  <si>
    <t xml:space="preserve">Rare</t>
  </si>
  <si>
    <t xml:space="preserve">You can sit at Heat 10+ without taking the overheat self-damage.</t>
  </si>
  <si>
    <t xml:space="preserve">A crown forged from congealed lava. Heavy.</t>
  </si>
  <si>
    <t xml:space="preserve">R-R02</t>
  </si>
  <si>
    <t xml:space="preserve">The Chorus Shard</t>
  </si>
  <si>
    <t xml:space="preserve">All Release effects are triggered twice.</t>
  </si>
  <si>
    <t xml:space="preserve">A piece of the Cosmic Choir, carved small.</t>
  </si>
  <si>
    <t xml:space="preserve">R-R03</t>
  </si>
  <si>
    <t xml:space="preserve">Modular Heart</t>
  </si>
  <si>
    <t xml:space="preserve">Every card in your deck gains a third Augment slot.</t>
  </si>
  <si>
    <t xml:space="preserve">An engine that is also a blueprint.</t>
  </si>
  <si>
    <t xml:space="preserve">R-R04</t>
  </si>
  <si>
    <t xml:space="preserve">The Unmoored Eye</t>
  </si>
  <si>
    <t xml:space="preserve">turn_start</t>
  </si>
  <si>
    <t xml:space="preserve">You may lock one Flux card in your hand to a state of your choice.</t>
  </si>
  <si>
    <t xml:space="preserve">An eye that cannot settle on what it sees.</t>
  </si>
  <si>
    <t xml:space="preserve">R-R05</t>
  </si>
  <si>
    <t xml:space="preserve">Runekeeper's Tome</t>
  </si>
  <si>
    <t xml:space="preserve">every_third_combat</t>
  </si>
  <si>
    <t xml:space="preserve">Add a random rare card to your hand at combat start.</t>
  </si>
  <si>
    <t xml:space="preserve">A book that remembers every fight you've won.</t>
  </si>
  <si>
    <t xml:space="preserve">R-B01</t>
  </si>
  <si>
    <t xml:space="preserve">The Hierophant's Censer</t>
  </si>
  <si>
    <t xml:space="preserve">Boss</t>
  </si>
  <si>
    <t xml:space="preserve">Draw 2 extra cards. All cards cost +1 Energy for the first turn only.</t>
  </si>
  <si>
    <t xml:space="preserve">The relic of a fallen Hivemind priest.</t>
  </si>
  <si>
    <t xml:space="preserve">R-B02</t>
  </si>
  <si>
    <t xml:space="preserve">Spire-Glass Lens</t>
  </si>
  <si>
    <t xml:space="preserve">enemy_killed / damage_taken</t>
  </si>
  <si>
    <t xml:space="preserve">Killing an enemy: +1 Max HP. Taking HP damage: cannot heal this combat.</t>
  </si>
  <si>
    <t xml:space="preserve">Cracked but functional.</t>
  </si>
  <si>
    <t xml:space="preserve">R-B03</t>
  </si>
  <si>
    <t xml:space="preserve">Heartwake Echo</t>
  </si>
  <si>
    <t xml:space="preserve">Copy the effect of a random relic in your collection for this fight. Permanently lose 10% max HP.</t>
  </si>
  <si>
    <t xml:space="preserve">A fragment of the final boss, reluctantly yours.</t>
  </si>
  <si>
    <t xml:space="preserve">R-A01</t>
  </si>
  <si>
    <t xml:space="preserve">Shard of the Choir</t>
  </si>
  <si>
    <t xml:space="preserve">Anomaly</t>
  </si>
  <si>
    <t xml:space="preserve">flux_shift / card_played</t>
  </si>
  <si>
    <t xml:space="preserve">Whenever a Flux card shifts: deal 2 damage to a random enemy. Whenever you play any card: take 1 damage.</t>
  </si>
  <si>
    <t xml:space="preserve">A piece of disembodied singing, trapped in obsidian.</t>
  </si>
  <si>
    <t xml:space="preserve">Relic Pool — Summary</t>
  </si>
  <si>
    <t xml:space="preserve">Count</t>
  </si>
  <si>
    <t xml:space="preserve">Source</t>
  </si>
  <si>
    <t xml:space="preserve">Granted at character select</t>
  </si>
  <si>
    <t xml:space="preserve">Elite, Shop, Events</t>
  </si>
  <si>
    <t xml:space="preserve">Elite, Shop, Events (Act 2+)</t>
  </si>
  <si>
    <t xml:space="preserve">Elite (10%), Shop (rare), Events</t>
  </si>
  <si>
    <t xml:space="preserve">Post-boss (pick 1 of 3)</t>
  </si>
  <si>
    <t xml:space="preserve">Anomaly-exclusive (Choir Fragment event)</t>
  </si>
  <si>
    <t xml:space="preserve">Total</t>
  </si>
  <si>
    <t xml:space="preserve">Starter Relics — One Per Character</t>
  </si>
  <si>
    <t xml:space="preserve">Granted at character select; not in reward pools.</t>
  </si>
  <si>
    <t xml:space="preserve">Character</t>
  </si>
  <si>
    <t xml:space="preserve">Starter Relic</t>
  </si>
  <si>
    <t xml:space="preserve">Design Intent</t>
  </si>
  <si>
    <t xml:space="preserve">Pyroclast Ignitor</t>
  </si>
  <si>
    <t xml:space="preserve">Combat start: gain 2 Heat</t>
  </si>
  <si>
    <t xml:space="preserve">Teaches that Heat is always accumulating. Heat meter never zero from turn 1.</t>
  </si>
  <si>
    <t xml:space="preserve">Cogsmith Artificer</t>
  </si>
  <si>
    <t xml:space="preserve">First Augment on each card costs 0</t>
  </si>
  <si>
    <t xml:space="preserve">Stronger than Modular Core. Applies per-card, not per-combat. Every base card can be freely augmented once.</t>
  </si>
  <si>
    <t xml:space="preserve">Luminar Channeler</t>
  </si>
  <si>
    <t xml:space="preserve">All Channel cards have +1 Max Lumens</t>
  </si>
  <si>
    <t xml:space="preserve">Raises Lumen ceiling from 5 to 6 across the entire run. Subtle, compounds with other Lumen cap boosters.</t>
  </si>
  <si>
    <t xml:space="preserve">Warp Rider Shiftblade</t>
  </si>
  <si>
    <t xml:space="preserve">Once per combat, force-reroll one Flux card</t>
  </si>
  <si>
    <t xml:space="preserve">Teaches mitigation side of Flux from turn 1. Free reroll per fight, rechargeable.</t>
  </si>
  <si>
    <t xml:space="preserve">Boss Relics — Pick 1 of 3 After Act 1 &amp; Act 2 Bosses</t>
  </si>
  <si>
    <t xml:space="preserve">All boss relics have a meaningful downside. Asymmetric gambles.</t>
  </si>
  <si>
    <t xml:space="preserve">Relic</t>
  </si>
  <si>
    <t xml:space="preserve">Upside</t>
  </si>
  <si>
    <t xml:space="preserve">Downside</t>
  </si>
  <si>
    <t xml:space="preserve">Best For</t>
  </si>
  <si>
    <t xml:space="preserve">Draw 2 extra cards at combat start</t>
  </si>
  <si>
    <t xml:space="preserve">All cards cost +1 Energy on turn 1</t>
  </si>
  <si>
    <t xml:space="preserve">Decks with Overclocked Core or free-card sources. Overclock Combo archetypes.</t>
  </si>
  <si>
    <t xml:space="preserve">Kill enemy: +1 Max HP (permanent, run-long)</t>
  </si>
  <si>
    <t xml:space="preserve">Take HP damage: cannot heal this combat</t>
  </si>
  <si>
    <t xml:space="preserve">Runs already going well with full-HP play. Punishes sloppy fights.</t>
  </si>
  <si>
    <t xml:space="preserve">Combat start: copy a random relic effect this fight</t>
  </si>
  <si>
    <t xml:space="preserve">Permanently lose 10% Max HP</t>
  </si>
  <si>
    <t xml:space="preserve">Runs with large relic collection. Variance players.</t>
  </si>
  <si>
    <t xml:space="preserve">Anomalies That Reference Relics</t>
  </si>
  <si>
    <t xml:space="preserve">Six of the 12 Anomaly templates award relics. Event design depends on this pool existing.</t>
  </si>
  <si>
    <t xml:space="preserve">Anomaly #</t>
  </si>
  <si>
    <t xml:space="preserve">Anomaly Name</t>
  </si>
  <si>
    <t xml:space="preserve">Relic Reference</t>
  </si>
  <si>
    <t xml:space="preserve">Pool Used</t>
  </si>
  <si>
    <t xml:space="preserve">The Drifting Forge</t>
  </si>
  <si>
    <t xml:space="preserve">Gain a random rare relic</t>
  </si>
  <si>
    <t xml:space="preserve">Rare tier</t>
  </si>
  <si>
    <t xml:space="preserve">The Ignitor's Tomb</t>
  </si>
  <si>
    <t xml:space="preserve">Gain a Pyroclast-faction relic</t>
  </si>
  <si>
    <t xml:space="preserve">Pyroclast-affinity only</t>
  </si>
  <si>
    <t xml:space="preserve">The Warp-Crazed Merchant</t>
  </si>
  <si>
    <t xml:space="preserve">Pay 50 gold: random relic</t>
  </si>
  <si>
    <t xml:space="preserve">All tiers, weighted by rarity</t>
  </si>
  <si>
    <t xml:space="preserve">The Sealed Reliquary</t>
  </si>
  <si>
    <t xml:space="preserve">Gain 2 random relics (30% trap)</t>
  </si>
  <si>
    <t xml:space="preserve">Common + Uncommon pool</t>
  </si>
  <si>
    <t xml:space="preserve">The Choir Fragment</t>
  </si>
  <si>
    <t xml:space="preserve">Gain unique Shard of the Choir</t>
  </si>
  <si>
    <t xml:space="preserve">Anomaly-exclusive entry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</si>
</sst>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D3D1C7"/>
        <bgColor rgb="FFCECBF6"/>
      </patternFill>
    </fill>
    <fill>
      <patternFill patternType="solid">
        <fgColor rgb="FFC0DD97"/>
        <bgColor rgb="FFD3D1C7"/>
      </patternFill>
    </fill>
    <fill>
      <patternFill patternType="solid">
        <fgColor rgb="FFC4D9F0"/>
        <bgColor rgb="FFCECBF6"/>
      </patternFill>
    </fill>
    <fill>
      <patternFill patternType="solid">
        <fgColor rgb="FFF5D98A"/>
        <bgColor rgb="FFD3D1C7"/>
      </patternFill>
    </fill>
    <fill>
      <patternFill patternType="solid">
        <fgColor rgb="FFF09595"/>
        <bgColor rgb="FFFF99CC"/>
      </patternFill>
    </fill>
    <fill>
      <patternFill patternType="solid">
        <fgColor rgb="FFCECBF6"/>
        <bgColor rgb="FFC4D9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09595"/>
      <rgbColor rgb="FF0066CC"/>
      <rgbColor rgb="FFCEC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C4D9F0"/>
      <rgbColor rgb="FFFF99CC"/>
      <rgbColor rgb="FFCC99FF"/>
      <rgbColor rgb="FFF5D98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3"/>
    <col collapsed="false" customWidth="true" hidden="false" outlineLevel="0" max="6" min="6" style="0" width="55"/>
    <col collapsed="false" customWidth="true" hidden="false" outlineLevel="0" max="7" min="7" style="0" width="45"/>
  </cols>
  <sheetData>
    <row r="1" customFormat="false" ht="17.35" hidden="false" customHeight="false" outlineLevel="0" collapsed="false">
      <c r="A1" s="1" t="s">
        <v>0</v>
      </c>
    </row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43.5" hidden="false" customHeight="true" outlineLevel="0" collapsed="false">
      <c r="A4" s="3" t="s">
        <v>8</v>
      </c>
      <c r="B4" s="4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customFormat="false" ht="43.5" hidden="false" customHeight="true" outlineLevel="0" collapsed="false">
      <c r="A5" s="3" t="s">
        <v>15</v>
      </c>
      <c r="B5" s="4" t="s">
        <v>16</v>
      </c>
      <c r="C5" s="3" t="s">
        <v>10</v>
      </c>
      <c r="D5" s="3" t="s">
        <v>17</v>
      </c>
      <c r="E5" s="3" t="s">
        <v>18</v>
      </c>
      <c r="F5" s="3" t="s">
        <v>19</v>
      </c>
      <c r="G5" s="3" t="s">
        <v>20</v>
      </c>
    </row>
    <row r="6" customFormat="false" ht="43.5" hidden="false" customHeight="true" outlineLevel="0" collapsed="false">
      <c r="A6" s="3" t="s">
        <v>21</v>
      </c>
      <c r="B6" s="4" t="s">
        <v>22</v>
      </c>
      <c r="C6" s="3" t="s">
        <v>10</v>
      </c>
      <c r="D6" s="3" t="s">
        <v>23</v>
      </c>
      <c r="E6" s="3" t="s">
        <v>18</v>
      </c>
      <c r="F6" s="3" t="s">
        <v>24</v>
      </c>
      <c r="G6" s="3" t="s">
        <v>25</v>
      </c>
    </row>
    <row r="7" customFormat="false" ht="43.5" hidden="false" customHeight="true" outlineLevel="0" collapsed="false">
      <c r="A7" s="3" t="s">
        <v>26</v>
      </c>
      <c r="B7" s="4" t="s">
        <v>27</v>
      </c>
      <c r="C7" s="3" t="s">
        <v>10</v>
      </c>
      <c r="D7" s="3" t="s">
        <v>28</v>
      </c>
      <c r="E7" s="3" t="s">
        <v>29</v>
      </c>
      <c r="F7" s="3" t="s">
        <v>30</v>
      </c>
      <c r="G7" s="3" t="s">
        <v>31</v>
      </c>
    </row>
    <row r="8" customFormat="false" ht="43.5" hidden="false" customHeight="true" outlineLevel="0" collapsed="false">
      <c r="A8" s="5" t="s">
        <v>32</v>
      </c>
      <c r="B8" s="6" t="s">
        <v>33</v>
      </c>
      <c r="C8" s="5" t="s">
        <v>34</v>
      </c>
      <c r="D8" s="5" t="s">
        <v>35</v>
      </c>
      <c r="E8" s="5" t="s">
        <v>18</v>
      </c>
      <c r="F8" s="5" t="s">
        <v>36</v>
      </c>
      <c r="G8" s="5" t="s">
        <v>37</v>
      </c>
    </row>
    <row r="9" customFormat="false" ht="43.5" hidden="false" customHeight="true" outlineLevel="0" collapsed="false">
      <c r="A9" s="5" t="s">
        <v>38</v>
      </c>
      <c r="B9" s="6" t="s">
        <v>39</v>
      </c>
      <c r="C9" s="5" t="s">
        <v>34</v>
      </c>
      <c r="D9" s="5" t="s">
        <v>35</v>
      </c>
      <c r="E9" s="5" t="s">
        <v>12</v>
      </c>
      <c r="F9" s="5" t="s">
        <v>40</v>
      </c>
      <c r="G9" s="5" t="s">
        <v>41</v>
      </c>
    </row>
    <row r="10" customFormat="false" ht="43.5" hidden="false" customHeight="true" outlineLevel="0" collapsed="false">
      <c r="A10" s="5" t="s">
        <v>42</v>
      </c>
      <c r="B10" s="6" t="s">
        <v>43</v>
      </c>
      <c r="C10" s="5" t="s">
        <v>34</v>
      </c>
      <c r="D10" s="5" t="s">
        <v>35</v>
      </c>
      <c r="E10" s="5" t="s">
        <v>12</v>
      </c>
      <c r="F10" s="5" t="s">
        <v>44</v>
      </c>
      <c r="G10" s="5" t="s">
        <v>45</v>
      </c>
    </row>
    <row r="11" customFormat="false" ht="43.5" hidden="false" customHeight="true" outlineLevel="0" collapsed="false">
      <c r="A11" s="5" t="s">
        <v>46</v>
      </c>
      <c r="B11" s="6" t="s">
        <v>47</v>
      </c>
      <c r="C11" s="5" t="s">
        <v>34</v>
      </c>
      <c r="D11" s="5" t="s">
        <v>35</v>
      </c>
      <c r="E11" s="5" t="s">
        <v>48</v>
      </c>
      <c r="F11" s="5" t="s">
        <v>49</v>
      </c>
      <c r="G11" s="5" t="s">
        <v>50</v>
      </c>
    </row>
    <row r="12" customFormat="false" ht="43.5" hidden="false" customHeight="true" outlineLevel="0" collapsed="false">
      <c r="A12" s="5" t="s">
        <v>51</v>
      </c>
      <c r="B12" s="6" t="s">
        <v>52</v>
      </c>
      <c r="C12" s="5" t="s">
        <v>34</v>
      </c>
      <c r="D12" s="5" t="s">
        <v>35</v>
      </c>
      <c r="E12" s="5" t="s">
        <v>12</v>
      </c>
      <c r="F12" s="5" t="s">
        <v>53</v>
      </c>
      <c r="G12" s="5" t="s">
        <v>54</v>
      </c>
    </row>
    <row r="13" customFormat="false" ht="43.5" hidden="false" customHeight="true" outlineLevel="0" collapsed="false">
      <c r="A13" s="5" t="s">
        <v>55</v>
      </c>
      <c r="B13" s="6" t="s">
        <v>56</v>
      </c>
      <c r="C13" s="5" t="s">
        <v>34</v>
      </c>
      <c r="D13" s="5" t="s">
        <v>35</v>
      </c>
      <c r="E13" s="5" t="s">
        <v>57</v>
      </c>
      <c r="F13" s="5" t="s">
        <v>58</v>
      </c>
      <c r="G13" s="5" t="s">
        <v>59</v>
      </c>
    </row>
    <row r="14" customFormat="false" ht="43.5" hidden="false" customHeight="true" outlineLevel="0" collapsed="false">
      <c r="A14" s="5" t="s">
        <v>60</v>
      </c>
      <c r="B14" s="6" t="s">
        <v>61</v>
      </c>
      <c r="C14" s="5" t="s">
        <v>34</v>
      </c>
      <c r="D14" s="5" t="s">
        <v>35</v>
      </c>
      <c r="E14" s="5" t="s">
        <v>48</v>
      </c>
      <c r="F14" s="5" t="s">
        <v>62</v>
      </c>
      <c r="G14" s="5" t="s">
        <v>63</v>
      </c>
    </row>
    <row r="15" customFormat="false" ht="43.5" hidden="false" customHeight="true" outlineLevel="0" collapsed="false">
      <c r="A15" s="5" t="s">
        <v>64</v>
      </c>
      <c r="B15" s="6" t="s">
        <v>65</v>
      </c>
      <c r="C15" s="5" t="s">
        <v>34</v>
      </c>
      <c r="D15" s="5" t="s">
        <v>35</v>
      </c>
      <c r="E15" s="5" t="s">
        <v>29</v>
      </c>
      <c r="F15" s="5" t="s">
        <v>66</v>
      </c>
      <c r="G15" s="5" t="s">
        <v>67</v>
      </c>
    </row>
    <row r="16" customFormat="false" ht="43.5" hidden="false" customHeight="true" outlineLevel="0" collapsed="false">
      <c r="A16" s="7" t="s">
        <v>68</v>
      </c>
      <c r="B16" s="8" t="s">
        <v>69</v>
      </c>
      <c r="C16" s="7" t="s">
        <v>70</v>
      </c>
      <c r="D16" s="7" t="s">
        <v>17</v>
      </c>
      <c r="E16" s="7" t="s">
        <v>29</v>
      </c>
      <c r="F16" s="7" t="s">
        <v>71</v>
      </c>
      <c r="G16" s="7" t="s">
        <v>72</v>
      </c>
    </row>
    <row r="17" customFormat="false" ht="43.5" hidden="false" customHeight="true" outlineLevel="0" collapsed="false">
      <c r="A17" s="7" t="s">
        <v>73</v>
      </c>
      <c r="B17" s="8" t="s">
        <v>74</v>
      </c>
      <c r="C17" s="7" t="s">
        <v>70</v>
      </c>
      <c r="D17" s="7" t="s">
        <v>23</v>
      </c>
      <c r="E17" s="7" t="s">
        <v>75</v>
      </c>
      <c r="F17" s="7" t="s">
        <v>76</v>
      </c>
      <c r="G17" s="7" t="s">
        <v>77</v>
      </c>
    </row>
    <row r="18" customFormat="false" ht="43.5" hidden="false" customHeight="true" outlineLevel="0" collapsed="false">
      <c r="A18" s="7" t="s">
        <v>78</v>
      </c>
      <c r="B18" s="8" t="s">
        <v>79</v>
      </c>
      <c r="C18" s="7" t="s">
        <v>70</v>
      </c>
      <c r="D18" s="7" t="s">
        <v>28</v>
      </c>
      <c r="E18" s="7" t="s">
        <v>12</v>
      </c>
      <c r="F18" s="7" t="s">
        <v>80</v>
      </c>
      <c r="G18" s="7" t="s">
        <v>81</v>
      </c>
    </row>
    <row r="19" customFormat="false" ht="43.5" hidden="false" customHeight="true" outlineLevel="0" collapsed="false">
      <c r="A19" s="7" t="s">
        <v>82</v>
      </c>
      <c r="B19" s="8" t="s">
        <v>83</v>
      </c>
      <c r="C19" s="7" t="s">
        <v>70</v>
      </c>
      <c r="D19" s="7" t="s">
        <v>35</v>
      </c>
      <c r="E19" s="7" t="s">
        <v>12</v>
      </c>
      <c r="F19" s="7" t="s">
        <v>84</v>
      </c>
      <c r="G19" s="7" t="s">
        <v>85</v>
      </c>
    </row>
    <row r="20" customFormat="false" ht="43.5" hidden="false" customHeight="true" outlineLevel="0" collapsed="false">
      <c r="A20" s="7" t="s">
        <v>86</v>
      </c>
      <c r="B20" s="8" t="s">
        <v>87</v>
      </c>
      <c r="C20" s="7" t="s">
        <v>70</v>
      </c>
      <c r="D20" s="7" t="s">
        <v>35</v>
      </c>
      <c r="E20" s="7" t="s">
        <v>12</v>
      </c>
      <c r="F20" s="7" t="s">
        <v>88</v>
      </c>
      <c r="G20" s="7" t="s">
        <v>89</v>
      </c>
    </row>
    <row r="21" customFormat="false" ht="43.5" hidden="false" customHeight="true" outlineLevel="0" collapsed="false">
      <c r="A21" s="9" t="s">
        <v>90</v>
      </c>
      <c r="B21" s="10" t="s">
        <v>91</v>
      </c>
      <c r="C21" s="9" t="s">
        <v>92</v>
      </c>
      <c r="D21" s="9" t="s">
        <v>11</v>
      </c>
      <c r="E21" s="9" t="s">
        <v>18</v>
      </c>
      <c r="F21" s="9" t="s">
        <v>93</v>
      </c>
      <c r="G21" s="9" t="s">
        <v>94</v>
      </c>
    </row>
    <row r="22" customFormat="false" ht="43.5" hidden="false" customHeight="true" outlineLevel="0" collapsed="false">
      <c r="A22" s="9" t="s">
        <v>95</v>
      </c>
      <c r="B22" s="10" t="s">
        <v>96</v>
      </c>
      <c r="C22" s="9" t="s">
        <v>92</v>
      </c>
      <c r="D22" s="9" t="s">
        <v>23</v>
      </c>
      <c r="E22" s="9" t="s">
        <v>18</v>
      </c>
      <c r="F22" s="9" t="s">
        <v>97</v>
      </c>
      <c r="G22" s="9" t="s">
        <v>98</v>
      </c>
    </row>
    <row r="23" customFormat="false" ht="43.5" hidden="false" customHeight="true" outlineLevel="0" collapsed="false">
      <c r="A23" s="9" t="s">
        <v>99</v>
      </c>
      <c r="B23" s="10" t="s">
        <v>100</v>
      </c>
      <c r="C23" s="9" t="s">
        <v>92</v>
      </c>
      <c r="D23" s="9" t="s">
        <v>17</v>
      </c>
      <c r="E23" s="9" t="s">
        <v>18</v>
      </c>
      <c r="F23" s="9" t="s">
        <v>101</v>
      </c>
      <c r="G23" s="9" t="s">
        <v>102</v>
      </c>
    </row>
    <row r="24" customFormat="false" ht="43.5" hidden="false" customHeight="true" outlineLevel="0" collapsed="false">
      <c r="A24" s="9" t="s">
        <v>103</v>
      </c>
      <c r="B24" s="10" t="s">
        <v>104</v>
      </c>
      <c r="C24" s="9" t="s">
        <v>92</v>
      </c>
      <c r="D24" s="9" t="s">
        <v>28</v>
      </c>
      <c r="E24" s="9" t="s">
        <v>105</v>
      </c>
      <c r="F24" s="9" t="s">
        <v>106</v>
      </c>
      <c r="G24" s="9" t="s">
        <v>107</v>
      </c>
    </row>
    <row r="25" customFormat="false" ht="43.5" hidden="false" customHeight="true" outlineLevel="0" collapsed="false">
      <c r="A25" s="9" t="s">
        <v>108</v>
      </c>
      <c r="B25" s="10" t="s">
        <v>109</v>
      </c>
      <c r="C25" s="9" t="s">
        <v>92</v>
      </c>
      <c r="D25" s="9" t="s">
        <v>35</v>
      </c>
      <c r="E25" s="9" t="s">
        <v>110</v>
      </c>
      <c r="F25" s="9" t="s">
        <v>111</v>
      </c>
      <c r="G25" s="9" t="s">
        <v>112</v>
      </c>
    </row>
    <row r="26" customFormat="false" ht="43.5" hidden="false" customHeight="true" outlineLevel="0" collapsed="false">
      <c r="A26" s="11" t="s">
        <v>113</v>
      </c>
      <c r="B26" s="12" t="s">
        <v>114</v>
      </c>
      <c r="C26" s="11" t="s">
        <v>115</v>
      </c>
      <c r="D26" s="11" t="s">
        <v>35</v>
      </c>
      <c r="E26" s="11" t="s">
        <v>12</v>
      </c>
      <c r="F26" s="11" t="s">
        <v>116</v>
      </c>
      <c r="G26" s="11" t="s">
        <v>117</v>
      </c>
    </row>
    <row r="27" customFormat="false" ht="43.5" hidden="false" customHeight="true" outlineLevel="0" collapsed="false">
      <c r="A27" s="11" t="s">
        <v>118</v>
      </c>
      <c r="B27" s="12" t="s">
        <v>119</v>
      </c>
      <c r="C27" s="11" t="s">
        <v>115</v>
      </c>
      <c r="D27" s="11" t="s">
        <v>35</v>
      </c>
      <c r="E27" s="11" t="s">
        <v>120</v>
      </c>
      <c r="F27" s="11" t="s">
        <v>121</v>
      </c>
      <c r="G27" s="11" t="s">
        <v>122</v>
      </c>
    </row>
    <row r="28" customFormat="false" ht="43.5" hidden="false" customHeight="true" outlineLevel="0" collapsed="false">
      <c r="A28" s="11" t="s">
        <v>123</v>
      </c>
      <c r="B28" s="12" t="s">
        <v>124</v>
      </c>
      <c r="C28" s="11" t="s">
        <v>115</v>
      </c>
      <c r="D28" s="11" t="s">
        <v>35</v>
      </c>
      <c r="E28" s="11" t="s">
        <v>12</v>
      </c>
      <c r="F28" s="11" t="s">
        <v>125</v>
      </c>
      <c r="G28" s="11" t="s">
        <v>126</v>
      </c>
    </row>
    <row r="29" customFormat="false" ht="43.5" hidden="false" customHeight="true" outlineLevel="0" collapsed="false">
      <c r="A29" s="13" t="s">
        <v>127</v>
      </c>
      <c r="B29" s="14" t="s">
        <v>128</v>
      </c>
      <c r="C29" s="13" t="s">
        <v>129</v>
      </c>
      <c r="D29" s="13" t="s">
        <v>28</v>
      </c>
      <c r="E29" s="13" t="s">
        <v>130</v>
      </c>
      <c r="F29" s="13" t="s">
        <v>131</v>
      </c>
      <c r="G29" s="1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1" t="s">
        <v>133</v>
      </c>
    </row>
    <row r="3" customFormat="false" ht="15" hidden="false" customHeight="false" outlineLevel="0" collapsed="false">
      <c r="A3" s="2" t="s">
        <v>3</v>
      </c>
      <c r="B3" s="2" t="s">
        <v>134</v>
      </c>
      <c r="C3" s="2" t="s">
        <v>135</v>
      </c>
      <c r="E3" s="2" t="s">
        <v>4</v>
      </c>
      <c r="F3" s="2" t="s">
        <v>134</v>
      </c>
    </row>
    <row r="4" customFormat="false" ht="23.85" hidden="false" customHeight="false" outlineLevel="0" collapsed="false">
      <c r="A4" s="4" t="s">
        <v>10</v>
      </c>
      <c r="B4" s="3" t="n">
        <v>4</v>
      </c>
      <c r="C4" s="3" t="s">
        <v>136</v>
      </c>
      <c r="E4" s="15" t="s">
        <v>35</v>
      </c>
      <c r="F4" s="15" t="n">
        <f aca="false">COUNTIF(Relics!D:D,"None")</f>
        <v>14</v>
      </c>
    </row>
    <row r="5" customFormat="false" ht="15" hidden="false" customHeight="false" outlineLevel="0" collapsed="false">
      <c r="A5" s="6" t="s">
        <v>34</v>
      </c>
      <c r="B5" s="5" t="n">
        <v>8</v>
      </c>
      <c r="C5" s="5" t="s">
        <v>137</v>
      </c>
      <c r="E5" s="15" t="s">
        <v>11</v>
      </c>
      <c r="F5" s="15" t="n">
        <f aca="false">COUNTIF(Relics!D:D,"Pyroclast")</f>
        <v>2</v>
      </c>
    </row>
    <row r="6" customFormat="false" ht="23.85" hidden="false" customHeight="false" outlineLevel="0" collapsed="false">
      <c r="A6" s="8" t="s">
        <v>70</v>
      </c>
      <c r="B6" s="7" t="n">
        <v>5</v>
      </c>
      <c r="C6" s="7" t="s">
        <v>138</v>
      </c>
      <c r="E6" s="15" t="s">
        <v>23</v>
      </c>
      <c r="F6" s="15" t="n">
        <f aca="false">COUNTIF(Relics!D:D,"Luminar")</f>
        <v>3</v>
      </c>
    </row>
    <row r="7" customFormat="false" ht="23.85" hidden="false" customHeight="false" outlineLevel="0" collapsed="false">
      <c r="A7" s="10" t="s">
        <v>92</v>
      </c>
      <c r="B7" s="9" t="n">
        <v>5</v>
      </c>
      <c r="C7" s="9" t="s">
        <v>139</v>
      </c>
      <c r="E7" s="15" t="s">
        <v>17</v>
      </c>
      <c r="F7" s="15" t="n">
        <f aca="false">COUNTIF(Relics!D:D,"Cogsmiths")</f>
        <v>3</v>
      </c>
    </row>
    <row r="8" customFormat="false" ht="15" hidden="false" customHeight="false" outlineLevel="0" collapsed="false">
      <c r="A8" s="12" t="s">
        <v>115</v>
      </c>
      <c r="B8" s="11" t="n">
        <v>3</v>
      </c>
      <c r="C8" s="11" t="s">
        <v>140</v>
      </c>
      <c r="E8" s="15" t="s">
        <v>28</v>
      </c>
      <c r="F8" s="15" t="n">
        <f aca="false">COUNTIF(Relics!D:D,"Warp Riders")</f>
        <v>4</v>
      </c>
    </row>
    <row r="9" customFormat="false" ht="23.85" hidden="false" customHeight="false" outlineLevel="0" collapsed="false">
      <c r="A9" s="14" t="s">
        <v>129</v>
      </c>
      <c r="B9" s="13" t="n">
        <v>1</v>
      </c>
      <c r="C9" s="13" t="s">
        <v>141</v>
      </c>
    </row>
    <row r="11" customFormat="false" ht="15" hidden="false" customHeight="false" outlineLevel="0" collapsed="false">
      <c r="A11" s="16" t="s">
        <v>142</v>
      </c>
      <c r="B11" s="16" t="n">
        <f aca="false">SUM(B4:B9)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17" t="s">
        <v>144</v>
      </c>
    </row>
    <row r="4" customFormat="false" ht="15" hidden="false" customHeight="false" outlineLevel="0" collapsed="false">
      <c r="A4" s="2" t="s">
        <v>145</v>
      </c>
      <c r="B4" s="2" t="s">
        <v>146</v>
      </c>
      <c r="C4" s="2" t="s">
        <v>6</v>
      </c>
      <c r="D4" s="2" t="s">
        <v>147</v>
      </c>
    </row>
    <row r="5" customFormat="false" ht="48" hidden="false" customHeight="true" outlineLevel="0" collapsed="false">
      <c r="A5" s="3" t="s">
        <v>148</v>
      </c>
      <c r="B5" s="4" t="s">
        <v>9</v>
      </c>
      <c r="C5" s="3" t="s">
        <v>149</v>
      </c>
      <c r="D5" s="3" t="s">
        <v>150</v>
      </c>
    </row>
    <row r="6" customFormat="false" ht="48" hidden="false" customHeight="true" outlineLevel="0" collapsed="false">
      <c r="A6" s="3" t="s">
        <v>151</v>
      </c>
      <c r="B6" s="4" t="s">
        <v>16</v>
      </c>
      <c r="C6" s="3" t="s">
        <v>152</v>
      </c>
      <c r="D6" s="3" t="s">
        <v>153</v>
      </c>
    </row>
    <row r="7" customFormat="false" ht="48" hidden="false" customHeight="true" outlineLevel="0" collapsed="false">
      <c r="A7" s="3" t="s">
        <v>154</v>
      </c>
      <c r="B7" s="4" t="s">
        <v>22</v>
      </c>
      <c r="C7" s="3" t="s">
        <v>155</v>
      </c>
      <c r="D7" s="3" t="s">
        <v>156</v>
      </c>
    </row>
    <row r="8" customFormat="false" ht="48" hidden="false" customHeight="true" outlineLevel="0" collapsed="false">
      <c r="A8" s="3" t="s">
        <v>157</v>
      </c>
      <c r="B8" s="4" t="s">
        <v>27</v>
      </c>
      <c r="C8" s="3" t="s">
        <v>158</v>
      </c>
      <c r="D8" s="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2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17" t="s">
        <v>161</v>
      </c>
    </row>
    <row r="4" customFormat="false" ht="15" hidden="false" customHeight="false" outlineLevel="0" collapsed="false">
      <c r="A4" s="2" t="s">
        <v>162</v>
      </c>
      <c r="B4" s="2" t="s">
        <v>163</v>
      </c>
      <c r="C4" s="2" t="s">
        <v>164</v>
      </c>
      <c r="D4" s="2" t="s">
        <v>165</v>
      </c>
    </row>
    <row r="5" customFormat="false" ht="48" hidden="false" customHeight="true" outlineLevel="0" collapsed="false">
      <c r="A5" s="12" t="s">
        <v>114</v>
      </c>
      <c r="B5" s="11" t="s">
        <v>166</v>
      </c>
      <c r="C5" s="11" t="s">
        <v>167</v>
      </c>
      <c r="D5" s="11" t="s">
        <v>168</v>
      </c>
    </row>
    <row r="6" customFormat="false" ht="48" hidden="false" customHeight="true" outlineLevel="0" collapsed="false">
      <c r="A6" s="12" t="s">
        <v>119</v>
      </c>
      <c r="B6" s="11" t="s">
        <v>169</v>
      </c>
      <c r="C6" s="11" t="s">
        <v>170</v>
      </c>
      <c r="D6" s="11" t="s">
        <v>171</v>
      </c>
    </row>
    <row r="7" customFormat="false" ht="48" hidden="false" customHeight="true" outlineLevel="0" collapsed="false">
      <c r="A7" s="12" t="s">
        <v>124</v>
      </c>
      <c r="B7" s="11" t="s">
        <v>172</v>
      </c>
      <c r="C7" s="11" t="s">
        <v>173</v>
      </c>
      <c r="D7" s="11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17" t="s">
        <v>176</v>
      </c>
    </row>
    <row r="4" customFormat="false" ht="15" hidden="false" customHeight="false" outlineLevel="0" collapsed="false">
      <c r="A4" s="2" t="s">
        <v>177</v>
      </c>
      <c r="B4" s="2" t="s">
        <v>178</v>
      </c>
      <c r="C4" s="2" t="s">
        <v>179</v>
      </c>
      <c r="D4" s="2" t="s">
        <v>180</v>
      </c>
    </row>
    <row r="5" customFormat="false" ht="15" hidden="false" customHeight="false" outlineLevel="0" collapsed="false">
      <c r="A5" s="13" t="n">
        <v>1</v>
      </c>
      <c r="B5" s="14" t="s">
        <v>181</v>
      </c>
      <c r="C5" s="13" t="s">
        <v>182</v>
      </c>
      <c r="D5" s="13" t="s">
        <v>183</v>
      </c>
    </row>
    <row r="6" customFormat="false" ht="15" hidden="false" customHeight="false" outlineLevel="0" collapsed="false">
      <c r="A6" s="13" t="n">
        <v>4</v>
      </c>
      <c r="B6" s="14" t="s">
        <v>184</v>
      </c>
      <c r="C6" s="13" t="s">
        <v>185</v>
      </c>
      <c r="D6" s="13" t="s">
        <v>186</v>
      </c>
    </row>
    <row r="7" customFormat="false" ht="15" hidden="false" customHeight="false" outlineLevel="0" collapsed="false">
      <c r="A7" s="13" t="n">
        <v>10</v>
      </c>
      <c r="B7" s="14" t="s">
        <v>187</v>
      </c>
      <c r="C7" s="13" t="s">
        <v>188</v>
      </c>
      <c r="D7" s="13" t="s">
        <v>189</v>
      </c>
    </row>
    <row r="8" customFormat="false" ht="15" hidden="false" customHeight="false" outlineLevel="0" collapsed="false">
      <c r="A8" s="13" t="n">
        <v>11</v>
      </c>
      <c r="B8" s="14" t="s">
        <v>190</v>
      </c>
      <c r="C8" s="13" t="s">
        <v>191</v>
      </c>
      <c r="D8" s="13" t="s">
        <v>192</v>
      </c>
    </row>
    <row r="9" customFormat="false" ht="15" hidden="false" customHeight="false" outlineLevel="0" collapsed="false">
      <c r="A9" s="13" t="n">
        <v>12</v>
      </c>
      <c r="B9" s="14" t="s">
        <v>193</v>
      </c>
      <c r="C9" s="13" t="s">
        <v>194</v>
      </c>
      <c r="D9" s="13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2026-04-22T19:42:45Z</dcterms:created>
  <dc:creator>openpyxl</dc:creator>
  <dc:description/>
  <dc:language>en-US</dc:language>
  <cp:lastModifiedBy/>
  <dcterms:modified xsi:type="dcterms:W3CDTF">2026-04-22T19:42:45Z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