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uminar Cards" sheetId="1" state="visible" r:id="rId3"/>
    <sheet name="Summary" sheetId="2" state="visible" r:id="rId4"/>
    <sheet name="Starter Deck" sheetId="3" state="visible" r:id="rId5"/>
    <sheet name="Combo Chai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<sst xmlns="http://schemas.openxmlformats.org/spreadsheetml/2006/main" count="431" uniqueCount="273">
  <si>
    <t xml:space="preserve">ID</t>
  </si>
  <si>
    <t xml:space="preserve">Name</t>
  </si>
  <si>
    <t xml:space="preserve">Rarity</t>
  </si>
  <si>
    <t xml:space="preserve">Type</t>
  </si>
  <si>
    <t xml:space="preserve">Cost</t>
  </si>
  <si>
    <t xml:space="preserve">Effect</t>
  </si>
  <si>
    <t xml:space="preserve">Archetype</t>
  </si>
  <si>
    <t xml:space="preserve">Evolution Trigger</t>
  </si>
  <si>
    <t xml:space="preserve">Evolves Into</t>
  </si>
  <si>
    <t xml:space="preserve">Evolved Effect</t>
  </si>
  <si>
    <t xml:space="preserve">L-001</t>
  </si>
  <si>
    <t xml:space="preserve">Light Jab</t>
  </si>
  <si>
    <t xml:space="preserve">Common</t>
  </si>
  <si>
    <t xml:space="preserve">Attack</t>
  </si>
  <si>
    <t xml:space="preserve">Deal 6 damage.</t>
  </si>
  <si>
    <t xml:space="preserve">Basic</t>
  </si>
  <si>
    <t xml:space="preserve">Played 10 times</t>
  </si>
  <si>
    <t xml:space="preserve">Starlance</t>
  </si>
  <si>
    <t xml:space="preserve">Deal 9 damage.</t>
  </si>
  <si>
    <t xml:space="preserve">L-002</t>
  </si>
  <si>
    <t xml:space="preserve">Glow Ward</t>
  </si>
  <si>
    <t xml:space="preserve">Skill</t>
  </si>
  <si>
    <t xml:space="preserve">Gain 5 Block.</t>
  </si>
  <si>
    <t xml:space="preserve">Played 8 times</t>
  </si>
  <si>
    <t xml:space="preserve">Dawn Ward</t>
  </si>
  <si>
    <t xml:space="preserve">Gain 7 Block. Gain 1 Lumen on a Channel card in hand.</t>
  </si>
  <si>
    <t xml:space="preserve">L-003</t>
  </si>
  <si>
    <t xml:space="preserve">Meditate</t>
  </si>
  <si>
    <t xml:space="preserve">Draw 2 cards. Gain 1 Lumen on each Channel card in hand.</t>
  </si>
  <si>
    <t xml:space="preserve">Channel Storm</t>
  </si>
  <si>
    <t xml:space="preserve">Played 5 times</t>
  </si>
  <si>
    <t xml:space="preserve">Deep Focus</t>
  </si>
  <si>
    <t xml:space="preserve">Draw 2 cards. Gain 2 Lumens on each Channel card in hand.</t>
  </si>
  <si>
    <t xml:space="preserve">L-004</t>
  </si>
  <si>
    <t xml:space="preserve">Prism Strike</t>
  </si>
  <si>
    <t xml:space="preserve">Channel. Deal 6 damage. Release: +2 damage per Lumen.</t>
  </si>
  <si>
    <t xml:space="preserve">Released at 5 Lumens</t>
  </si>
  <si>
    <t xml:space="preserve">Prism Lance</t>
  </si>
  <si>
    <t xml:space="preserve">Channel. Deal 8 damage. Release: +3 damage per Lumen.</t>
  </si>
  <si>
    <t xml:space="preserve">L-005</t>
  </si>
  <si>
    <t xml:space="preserve">Radiance</t>
  </si>
  <si>
    <t xml:space="preserve">Gain 2 Lumens on the leftmost Channel card in hand.</t>
  </si>
  <si>
    <t xml:space="preserve">Played 6 times</t>
  </si>
  <si>
    <t xml:space="preserve">Effulgence</t>
  </si>
  <si>
    <t xml:space="preserve">Gain 2 Lumens on every Channel card in hand.</t>
  </si>
  <si>
    <t xml:space="preserve">L-006</t>
  </si>
  <si>
    <t xml:space="preserve">Halo Ward</t>
  </si>
  <si>
    <t xml:space="preserve">Channel. Gain 6 Block. Release: +2 Block per Lumen.</t>
  </si>
  <si>
    <t xml:space="preserve">Radiant Shield</t>
  </si>
  <si>
    <t xml:space="preserve">Released at 4+ Lumens</t>
  </si>
  <si>
    <t xml:space="preserve">Celestial Ward</t>
  </si>
  <si>
    <t xml:space="preserve">Channel. Gain 8 Block. Release: +3 Block per Lumen.</t>
  </si>
  <si>
    <t xml:space="preserve">L-007</t>
  </si>
  <si>
    <t xml:space="preserve">Beam</t>
  </si>
  <si>
    <t xml:space="preserve">Deal 4 damage to all enemies.</t>
  </si>
  <si>
    <t xml:space="preserve">Support</t>
  </si>
  <si>
    <t xml:space="preserve">Broadbeam</t>
  </si>
  <si>
    <t xml:space="preserve">Deal 5 damage to all enemies.</t>
  </si>
  <si>
    <t xml:space="preserve">L-008</t>
  </si>
  <si>
    <t xml:space="preserve">Chant</t>
  </si>
  <si>
    <t xml:space="preserve">The next Channel card you play this turn is treated as having +2 Lumens.</t>
  </si>
  <si>
    <t xml:space="preserve">Lightweave</t>
  </si>
  <si>
    <t xml:space="preserve">Incantation</t>
  </si>
  <si>
    <t xml:space="preserve">The next Channel card you play this turn is treated as having +3 Lumens.</t>
  </si>
  <si>
    <t xml:space="preserve">L-009</t>
  </si>
  <si>
    <t xml:space="preserve">Sunrise</t>
  </si>
  <si>
    <t xml:space="preserve">Gain 1 Lumen on a Channel card in hand. Draw 1 card.</t>
  </si>
  <si>
    <t xml:space="preserve">First Light</t>
  </si>
  <si>
    <t xml:space="preserve">Gain 2 Lumens on a Channel card in hand. Draw 1 card.</t>
  </si>
  <si>
    <t xml:space="preserve">L-010</t>
  </si>
  <si>
    <t xml:space="preserve">Hymn</t>
  </si>
  <si>
    <t xml:space="preserve">Heal 3 HP. Gain 1 Lumen on a Channel card in hand.</t>
  </si>
  <si>
    <t xml:space="preserve">Aria</t>
  </si>
  <si>
    <t xml:space="preserve">Heal 5 HP. Gain 1 Lumen on every Channel card in hand.</t>
  </si>
  <si>
    <t xml:space="preserve">L-011</t>
  </si>
  <si>
    <t xml:space="preserve">Gleam</t>
  </si>
  <si>
    <t xml:space="preserve">Channel. Deal 8 damage. Release: +4 damage per Lumen.</t>
  </si>
  <si>
    <t xml:space="preserve">Glare</t>
  </si>
  <si>
    <t xml:space="preserve">Channel. Deal 10 damage. Release: +5 damage per Lumen.</t>
  </si>
  <si>
    <t xml:space="preserve">L-012</t>
  </si>
  <si>
    <t xml:space="preserve">Steady Light</t>
  </si>
  <si>
    <t xml:space="preserve">Channel. Gain 4 Block. Retain.</t>
  </si>
  <si>
    <t xml:space="preserve">Held 5 turns</t>
  </si>
  <si>
    <t xml:space="preserve">Constant Flame</t>
  </si>
  <si>
    <t xml:space="preserve">Channel. Gain 5 Block. Retain. Gain 1 Lumen when retained.</t>
  </si>
  <si>
    <t xml:space="preserve">L-013</t>
  </si>
  <si>
    <t xml:space="preserve">Harmonize</t>
  </si>
  <si>
    <t xml:space="preserve">Transfer Lumens freely between Channel cards in hand.</t>
  </si>
  <si>
    <t xml:space="preserve">Played 4 times</t>
  </si>
  <si>
    <t xml:space="preserve">Resonance</t>
  </si>
  <si>
    <t xml:space="preserve">Transfer Lumens freely between Channel cards. Each transfer adds +1 Lumen.</t>
  </si>
  <si>
    <t xml:space="preserve">L-014</t>
  </si>
  <si>
    <t xml:space="preserve">Searing Ray</t>
  </si>
  <si>
    <t xml:space="preserve">Deal 12 damage. +2 damage for each Channel card in hand.</t>
  </si>
  <si>
    <t xml:space="preserve">Severing Ray</t>
  </si>
  <si>
    <t xml:space="preserve">Deal 14 damage. +3 damage for each Channel card in hand.</t>
  </si>
  <si>
    <t xml:space="preserve">L-015</t>
  </si>
  <si>
    <t xml:space="preserve">Ward of Dawn</t>
  </si>
  <si>
    <t xml:space="preserve">Gain 8 Block.</t>
  </si>
  <si>
    <t xml:space="preserve">Dawnbreak</t>
  </si>
  <si>
    <t xml:space="preserve">Gain 10 Block. Draw 1 card if at full HP.</t>
  </si>
  <si>
    <t xml:space="preserve">L-016</t>
  </si>
  <si>
    <t xml:space="preserve">Inner Peace</t>
  </si>
  <si>
    <t xml:space="preserve">End turn. Draw 2 cards next turn. Gain 1 Lumen on every Channel card in hand.</t>
  </si>
  <si>
    <t xml:space="preserve">Played 3 times</t>
  </si>
  <si>
    <t xml:space="preserve">Tranquility</t>
  </si>
  <si>
    <t xml:space="preserve">End turn. Draw 3 cards next turn. Gain 2 Lumens on every Channel card in hand.</t>
  </si>
  <si>
    <t xml:space="preserve">L-017</t>
  </si>
  <si>
    <t xml:space="preserve">Sunbeam</t>
  </si>
  <si>
    <t xml:space="preserve">Uncommon</t>
  </si>
  <si>
    <t xml:space="preserve">Channel. Deal 10 damage. Release: +3 damage per Lumen.</t>
  </si>
  <si>
    <t xml:space="preserve">Released 5 times</t>
  </si>
  <si>
    <t xml:space="preserve">Sunflare</t>
  </si>
  <si>
    <t xml:space="preserve">Channel. Deal 12 damage. Release: +4 damage per Lumen.</t>
  </si>
  <si>
    <t xml:space="preserve">L-018</t>
  </si>
  <si>
    <t xml:space="preserve">Aurora</t>
  </si>
  <si>
    <t xml:space="preserve">Channel. Apply Vulnerable 2 to all enemies. Release: +1 Vulnerable per Lumen.</t>
  </si>
  <si>
    <t xml:space="preserve">Corona</t>
  </si>
  <si>
    <t xml:space="preserve">Channel. Apply Vulnerable 2 and Weak 1 to all. Release: +1 each per Lumen.</t>
  </si>
  <si>
    <t xml:space="preserve">L-019</t>
  </si>
  <si>
    <t xml:space="preserve">Mantra</t>
  </si>
  <si>
    <t xml:space="preserve">Power</t>
  </si>
  <si>
    <t xml:space="preserve">The first card you play each turn gains Channel and 1 Lumen.</t>
  </si>
  <si>
    <t xml:space="preserve">Triggered 10 times</t>
  </si>
  <si>
    <t xml:space="preserve">Sacred Mantra</t>
  </si>
  <si>
    <t xml:space="preserve">The first card you play each turn gains Channel and 2 Lumens.</t>
  </si>
  <si>
    <t xml:space="preserve">L-020</t>
  </si>
  <si>
    <t xml:space="preserve">Focus</t>
  </si>
  <si>
    <t xml:space="preserve">Gain 3 Lumens distributed freely across Channel cards in hand.</t>
  </si>
  <si>
    <t xml:space="preserve">Convergence</t>
  </si>
  <si>
    <t xml:space="preserve">Gain 5 Lumens distributed freely across Channel cards in hand.</t>
  </si>
  <si>
    <t xml:space="preserve">L-021</t>
  </si>
  <si>
    <t xml:space="preserve">Solar Bolt</t>
  </si>
  <si>
    <t xml:space="preserve">Deal 14 damage. Exhaust.</t>
  </si>
  <si>
    <t xml:space="preserve">Thunderbolt</t>
  </si>
  <si>
    <t xml:space="preserve">Deal 18 damage. Exhaust.</t>
  </si>
  <si>
    <t xml:space="preserve">L-022</t>
  </si>
  <si>
    <t xml:space="preserve">Halo</t>
  </si>
  <si>
    <t xml:space="preserve">At end of turn, gain Block equal to total Lumens across all Channel cards in hand.</t>
  </si>
  <si>
    <t xml:space="preserve">Triggered 15 times</t>
  </si>
  <si>
    <t xml:space="preserve">Sunring</t>
  </si>
  <si>
    <t xml:space="preserve">At end of turn, gain double Block from total Lumens in hand.</t>
  </si>
  <si>
    <t xml:space="preserve">L-023</t>
  </si>
  <si>
    <t xml:space="preserve">Blinding Flash</t>
  </si>
  <si>
    <t xml:space="preserve">Apply Weak 2 and Vulnerable 2 to all enemies. Consume 1 Lumen from each Channel card.</t>
  </si>
  <si>
    <t xml:space="preserve">Supernova Flash</t>
  </si>
  <si>
    <t xml:space="preserve">Apply Weak 3 and Vulnerable 3 to all enemies. No Lumen cost.</t>
  </si>
  <si>
    <t xml:space="preserve">L-024</t>
  </si>
  <si>
    <t xml:space="preserve">Sacred Geometry</t>
  </si>
  <si>
    <t xml:space="preserve">The next Release effect this turn triggers twice.</t>
  </si>
  <si>
    <t xml:space="preserve">Mandala</t>
  </si>
  <si>
    <t xml:space="preserve">The next Release effect this turn triggers three times.</t>
  </si>
  <si>
    <t xml:space="preserve">L-025</t>
  </si>
  <si>
    <t xml:space="preserve">Astral Step</t>
  </si>
  <si>
    <t xml:space="preserve">Discard your hand, draw 3 cards. Drawn Channel cards gain 1 Lumen.</t>
  </si>
  <si>
    <t xml:space="preserve">Starpath</t>
  </si>
  <si>
    <t xml:space="preserve">Discard your hand, draw 4 cards. Drawn Channel cards gain 2 Lumens.</t>
  </si>
  <si>
    <t xml:space="preserve">L-026</t>
  </si>
  <si>
    <t xml:space="preserve">Starfall</t>
  </si>
  <si>
    <t xml:space="preserve">Channel. Deal 5 damage 3 times. Release: +2 damage per hit per Lumen.</t>
  </si>
  <si>
    <t xml:space="preserve">Released at 3+ Lumens</t>
  </si>
  <si>
    <t xml:space="preserve">Meteor Shower</t>
  </si>
  <si>
    <t xml:space="preserve">Channel. Deal 6 damage 3 times. Release: +3 damage per hit per Lumen.</t>
  </si>
  <si>
    <t xml:space="preserve">L-027</t>
  </si>
  <si>
    <t xml:space="preserve">Enduring Light</t>
  </si>
  <si>
    <t xml:space="preserve">Channel cards automatically Retain.</t>
  </si>
  <si>
    <t xml:space="preserve">Survived 5 combats</t>
  </si>
  <si>
    <t xml:space="preserve">Everlight (power)</t>
  </si>
  <si>
    <t xml:space="preserve">Channel cards automatically Retain. +1 Lumen each time they retain.</t>
  </si>
  <si>
    <t xml:space="preserve">L-028</t>
  </si>
  <si>
    <t xml:space="preserve">Focused Beam</t>
  </si>
  <si>
    <t xml:space="preserve">Channel. Deal 20 damage. Release: Apply Weak 1 per Lumen.</t>
  </si>
  <si>
    <t xml:space="preserve">Laser Focus</t>
  </si>
  <si>
    <t xml:space="preserve">Channel. Deal 25 damage. Release: Apply Weak 1 per Lumen.</t>
  </si>
  <si>
    <t xml:space="preserve">L-029</t>
  </si>
  <si>
    <t xml:space="preserve">Moonlit Guard</t>
  </si>
  <si>
    <t xml:space="preserve">Gain 16 Block. Gain 1 Lumen on every Channel card in hand.</t>
  </si>
  <si>
    <t xml:space="preserve">Moonlit Aegis</t>
  </si>
  <si>
    <t xml:space="preserve">Gain 20 Block. Gain 2 Lumens on every Channel card in hand.</t>
  </si>
  <si>
    <t xml:space="preserve">L-030</t>
  </si>
  <si>
    <t xml:space="preserve">Wisdom</t>
  </si>
  <si>
    <t xml:space="preserve">Draw cards equal to total Lumens on Channel cards in hand.</t>
  </si>
  <si>
    <t xml:space="preserve">Drew 10 cards via this effect</t>
  </si>
  <si>
    <t xml:space="preserve">Clarity</t>
  </si>
  <si>
    <t xml:space="preserve">Draw cards equal to total Lumens + 1 on Channel cards in hand.</t>
  </si>
  <si>
    <t xml:space="preserve">L-031</t>
  </si>
  <si>
    <t xml:space="preserve">Supernova</t>
  </si>
  <si>
    <t xml:space="preserve">Rare</t>
  </si>
  <si>
    <t xml:space="preserve">Channel. Deal 20 damage to all enemies. Release: +10 damage per Lumen.</t>
  </si>
  <si>
    <t xml:space="preserve">Galactic Collapse</t>
  </si>
  <si>
    <t xml:space="preserve">Channel. Deal 25 damage to all enemies. Release: +12 damage per Lumen.</t>
  </si>
  <si>
    <t xml:space="preserve">L-032</t>
  </si>
  <si>
    <t xml:space="preserve">Everlight</t>
  </si>
  <si>
    <t xml:space="preserve">At turn start, gain 1 Lumen on every Channel card in hand.</t>
  </si>
  <si>
    <t xml:space="preserve">Eternal Dawn</t>
  </si>
  <si>
    <t xml:space="preserve">At turn start, gain 2 Lumens on every Channel card in hand.</t>
  </si>
  <si>
    <t xml:space="preserve">L-033</t>
  </si>
  <si>
    <t xml:space="preserve">Transcendence</t>
  </si>
  <si>
    <t xml:space="preserve">Choose a Channel card in your draw pile. Play it immediately, ignoring cost.</t>
  </si>
  <si>
    <t xml:space="preserve">Ascension</t>
  </si>
  <si>
    <t xml:space="preserve">Choose 2 Channel cards in your draw pile. Play them immediately, ignoring cost.</t>
  </si>
  <si>
    <t xml:space="preserve">L-034</t>
  </si>
  <si>
    <t xml:space="preserve">Gravitas</t>
  </si>
  <si>
    <t xml:space="preserve">All Release effects are doubled.</t>
  </si>
  <si>
    <t xml:space="preserve">Event Horizon</t>
  </si>
  <si>
    <t xml:space="preserve">All Release effects are tripled.</t>
  </si>
  <si>
    <t xml:space="preserve">L-035</t>
  </si>
  <si>
    <t xml:space="preserve">Stellar Body</t>
  </si>
  <si>
    <t xml:space="preserve">The first attack that would damage you each turn is reduced to 0.</t>
  </si>
  <si>
    <t xml:space="preserve">Survived 10 attacks</t>
  </si>
  <si>
    <t xml:space="preserve">Celestial Form</t>
  </si>
  <si>
    <t xml:space="preserve">The first attack that would damage you each turn is reduced to 0. Gain 2 Lumens when this triggers.</t>
  </si>
  <si>
    <t xml:space="preserve">L-036</t>
  </si>
  <si>
    <t xml:space="preserve">Illumination</t>
  </si>
  <si>
    <t xml:space="preserve">Reveal all enemy intents for the rest of combat. Apply Vulnerable 3 to all.</t>
  </si>
  <si>
    <t xml:space="preserve">Omniscience</t>
  </si>
  <si>
    <t xml:space="preserve">Reveal all enemy intents. Apply Vulnerable 4 to all. Vulnerable does not decay this combat.</t>
  </si>
  <si>
    <t xml:space="preserve">L-037</t>
  </si>
  <si>
    <t xml:space="preserve">Sun's Blessing</t>
  </si>
  <si>
    <t xml:space="preserve">Max Lumens per Channel card increased by 3 (cap 8).</t>
  </si>
  <si>
    <t xml:space="preserve">Solar Blessing</t>
  </si>
  <si>
    <t xml:space="preserve">Max Lumens per Channel card increased by 5 (cap 10). Cards gain 1 Lumen when they retain.</t>
  </si>
  <si>
    <t xml:space="preserve">L-038</t>
  </si>
  <si>
    <t xml:space="preserve">Divine Intervention</t>
  </si>
  <si>
    <t xml:space="preserve">When you would die this combat, survive at 1 HP and gain 5 Lumens distributed. Exhaust.</t>
  </si>
  <si>
    <t xml:space="preserve">Triggered once</t>
  </si>
  <si>
    <t xml:space="preserve">Providence</t>
  </si>
  <si>
    <t xml:space="preserve">When you would die this combat, survive at 10 HP and gain 5 Lumens distributed.</t>
  </si>
  <si>
    <t xml:space="preserve">L-039</t>
  </si>
  <si>
    <t xml:space="preserve">Godlight</t>
  </si>
  <si>
    <t xml:space="preserve">Channel. Deal 15 damage. Release: +8 damage per Lumen. Heal for half damage dealt.</t>
  </si>
  <si>
    <t xml:space="preserve">Divine Light</t>
  </si>
  <si>
    <t xml:space="preserve">Channel. Deal 15 damage. Release: +8 damage per Lumen. Heal for full damage dealt.</t>
  </si>
  <si>
    <t xml:space="preserve">L-040</t>
  </si>
  <si>
    <t xml:space="preserve">Apex</t>
  </si>
  <si>
    <t xml:space="preserve">Trigger Release on every Channel card in hand simultaneously. They are not discarded.</t>
  </si>
  <si>
    <t xml:space="preserve">Triggered with 5+ Channel cards</t>
  </si>
  <si>
    <t xml:space="preserve">Zenith</t>
  </si>
  <si>
    <t xml:space="preserve">Trigger Release on every Channel card in hand twice. They are not discarded.</t>
  </si>
  <si>
    <t xml:space="preserve">Luminar Card Pool — Summary</t>
  </si>
  <si>
    <t xml:space="preserve">Count</t>
  </si>
  <si>
    <t xml:space="preserve">Draft Weight</t>
  </si>
  <si>
    <t xml:space="preserve">60%</t>
  </si>
  <si>
    <t xml:space="preserve">30%</t>
  </si>
  <si>
    <t xml:space="preserve">10%</t>
  </si>
  <si>
    <t xml:space="preserve">Total</t>
  </si>
  <si>
    <t xml:space="preserve">Card Count</t>
  </si>
  <si>
    <t xml:space="preserve">Channel cards in pool</t>
  </si>
  <si>
    <t xml:space="preserve">Luminar Channeler — Starter Deck (10 cards)</t>
  </si>
  <si>
    <t xml:space="preserve">Card</t>
  </si>
  <si>
    <t xml:space="preserve">Inner Sun</t>
  </si>
  <si>
    <t xml:space="preserve">Special</t>
  </si>
  <si>
    <t xml:space="preserve">Power 1</t>
  </si>
  <si>
    <t xml:space="preserve">At start of each turn, gain 1 Lumen on your leftmost Channel card.</t>
  </si>
  <si>
    <t xml:space="preserve">Luminar Combo Chains</t>
  </si>
  <si>
    <t xml:space="preserve">Combo</t>
  </si>
  <si>
    <t xml:space="preserve">Cards</t>
  </si>
  <si>
    <t xml:space="preserve">Description</t>
  </si>
  <si>
    <t xml:space="preserve">1. Stored Sunrise</t>
  </si>
  <si>
    <t xml:space="preserve">Meditate + Mantra + held Channel cards + Apex</t>
  </si>
  <si>
    <t xml:space="preserve">Hold 3-5 Channel cards for many turns, then Apex releases them all at once. Fight-ending burst.</t>
  </si>
  <si>
    <t xml:space="preserve">2. Halo Engine</t>
  </si>
  <si>
    <t xml:space="preserve">Halo (power) + Steady Light + held Prism Strike</t>
  </si>
  <si>
    <t xml:space="preserve">Halo converts stored Lumens into block each turn. Retain cards never leave hand. Infinite scaling block.</t>
  </si>
  <si>
    <t xml:space="preserve">3. Doubled Crescendo</t>
  </si>
  <si>
    <t xml:space="preserve">Sacred Geometry + Chant + Supernova</t>
  </si>
  <si>
    <t xml:space="preserve">Chant boosts Supernova Lumens by +2, Sacred Geometry doubles the Release. 100+ AoE damage in one turn.</t>
  </si>
  <si>
    <t xml:space="preserve">4. Everlight Ramp</t>
  </si>
  <si>
    <t xml:space="preserve">Everlight (power) + Sun's Blessing + any Channel card</t>
  </si>
  <si>
    <t xml:space="preserve">Turn 8: single card has 8 Lumens stored. Prism Strike = 30 dmg, Supernova = 100 AoE.</t>
  </si>
  <si>
    <t xml:space="preserve">5. Providence Fakeout</t>
  </si>
  <si>
    <t xml:space="preserve">Divine Intervention + deliberate big hit + Godlight</t>
  </si>
  <si>
    <t xml:space="preserve">Bait lethal, revive at 1 HP with 5 Lumens, play Godlight for massive damage + heal back.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</si>
</sst>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2C2A"/>
        <bgColor rgb="FF333300"/>
      </patternFill>
    </fill>
    <fill>
      <patternFill patternType="solid">
        <fgColor rgb="FFE8E8E8"/>
        <bgColor rgb="FFFFFFFF"/>
      </patternFill>
    </fill>
    <fill>
      <patternFill patternType="solid">
        <fgColor rgb="FFC4D9F0"/>
        <bgColor rgb="FFE8E8E8"/>
      </patternFill>
    </fill>
    <fill>
      <patternFill patternType="solid">
        <fgColor rgb="FFF5D98A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4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D98A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50"/>
    <col collapsed="false" customWidth="true" hidden="false" outlineLevel="0" max="7" min="7" style="0" width="18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2" hidden="false" customHeight="true" outlineLevel="0" collapsed="false">
      <c r="A2" s="2" t="s">
        <v>10</v>
      </c>
      <c r="B2" s="3" t="s">
        <v>11</v>
      </c>
      <c r="C2" s="2" t="s">
        <v>12</v>
      </c>
      <c r="D2" s="2" t="s">
        <v>13</v>
      </c>
      <c r="E2" s="2" t="n">
        <v>1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customFormat="false" ht="42" hidden="false" customHeight="true" outlineLevel="0" collapsed="false">
      <c r="A3" s="2" t="s">
        <v>19</v>
      </c>
      <c r="B3" s="3" t="s">
        <v>20</v>
      </c>
      <c r="C3" s="2" t="s">
        <v>12</v>
      </c>
      <c r="D3" s="2" t="s">
        <v>21</v>
      </c>
      <c r="E3" s="2" t="n">
        <v>1</v>
      </c>
      <c r="F3" s="2" t="s">
        <v>22</v>
      </c>
      <c r="G3" s="2" t="s">
        <v>15</v>
      </c>
      <c r="H3" s="2" t="s">
        <v>23</v>
      </c>
      <c r="I3" s="2" t="s">
        <v>24</v>
      </c>
      <c r="J3" s="2" t="s">
        <v>25</v>
      </c>
    </row>
    <row r="4" customFormat="false" ht="42" hidden="false" customHeight="true" outlineLevel="0" collapsed="false">
      <c r="A4" s="2" t="s">
        <v>26</v>
      </c>
      <c r="B4" s="3" t="s">
        <v>27</v>
      </c>
      <c r="C4" s="2" t="s">
        <v>12</v>
      </c>
      <c r="D4" s="2" t="s">
        <v>21</v>
      </c>
      <c r="E4" s="2" t="n">
        <v>1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42" hidden="false" customHeight="true" outlineLevel="0" collapsed="false">
      <c r="A5" s="2" t="s">
        <v>33</v>
      </c>
      <c r="B5" s="3" t="s">
        <v>34</v>
      </c>
      <c r="C5" s="2" t="s">
        <v>12</v>
      </c>
      <c r="D5" s="2" t="s">
        <v>13</v>
      </c>
      <c r="E5" s="2" t="n">
        <v>1</v>
      </c>
      <c r="F5" s="2" t="s">
        <v>35</v>
      </c>
      <c r="G5" s="2" t="s">
        <v>29</v>
      </c>
      <c r="H5" s="2" t="s">
        <v>36</v>
      </c>
      <c r="I5" s="2" t="s">
        <v>37</v>
      </c>
      <c r="J5" s="2" t="s">
        <v>38</v>
      </c>
    </row>
    <row r="6" customFormat="false" ht="42" hidden="false" customHeight="true" outlineLevel="0" collapsed="false">
      <c r="A6" s="2" t="s">
        <v>39</v>
      </c>
      <c r="B6" s="3" t="s">
        <v>40</v>
      </c>
      <c r="C6" s="2" t="s">
        <v>12</v>
      </c>
      <c r="D6" s="2" t="s">
        <v>21</v>
      </c>
      <c r="E6" s="2" t="n">
        <v>1</v>
      </c>
      <c r="F6" s="2" t="s">
        <v>41</v>
      </c>
      <c r="G6" s="2" t="s">
        <v>29</v>
      </c>
      <c r="H6" s="2" t="s">
        <v>42</v>
      </c>
      <c r="I6" s="2" t="s">
        <v>43</v>
      </c>
      <c r="J6" s="2" t="s">
        <v>44</v>
      </c>
    </row>
    <row r="7" customFormat="false" ht="42" hidden="false" customHeight="true" outlineLevel="0" collapsed="false">
      <c r="A7" s="2" t="s">
        <v>45</v>
      </c>
      <c r="B7" s="3" t="s">
        <v>46</v>
      </c>
      <c r="C7" s="2" t="s">
        <v>12</v>
      </c>
      <c r="D7" s="2" t="s">
        <v>21</v>
      </c>
      <c r="E7" s="2" t="n">
        <v>1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51</v>
      </c>
    </row>
    <row r="8" customFormat="false" ht="42" hidden="false" customHeight="true" outlineLevel="0" collapsed="false">
      <c r="A8" s="2" t="s">
        <v>52</v>
      </c>
      <c r="B8" s="3" t="s">
        <v>53</v>
      </c>
      <c r="C8" s="2" t="s">
        <v>12</v>
      </c>
      <c r="D8" s="2" t="s">
        <v>13</v>
      </c>
      <c r="E8" s="2" t="n">
        <v>1</v>
      </c>
      <c r="F8" s="2" t="s">
        <v>54</v>
      </c>
      <c r="G8" s="2" t="s">
        <v>55</v>
      </c>
      <c r="H8" s="2" t="s">
        <v>16</v>
      </c>
      <c r="I8" s="2" t="s">
        <v>56</v>
      </c>
      <c r="J8" s="2" t="s">
        <v>57</v>
      </c>
    </row>
    <row r="9" customFormat="false" ht="42" hidden="false" customHeight="true" outlineLevel="0" collapsed="false">
      <c r="A9" s="2" t="s">
        <v>58</v>
      </c>
      <c r="B9" s="3" t="s">
        <v>59</v>
      </c>
      <c r="C9" s="2" t="s">
        <v>12</v>
      </c>
      <c r="D9" s="2" t="s">
        <v>21</v>
      </c>
      <c r="E9" s="2" t="n">
        <v>0</v>
      </c>
      <c r="F9" s="2" t="s">
        <v>60</v>
      </c>
      <c r="G9" s="2" t="s">
        <v>61</v>
      </c>
      <c r="H9" s="2" t="s">
        <v>30</v>
      </c>
      <c r="I9" s="2" t="s">
        <v>62</v>
      </c>
      <c r="J9" s="2" t="s">
        <v>63</v>
      </c>
    </row>
    <row r="10" customFormat="false" ht="42" hidden="false" customHeight="true" outlineLevel="0" collapsed="false">
      <c r="A10" s="2" t="s">
        <v>64</v>
      </c>
      <c r="B10" s="3" t="s">
        <v>65</v>
      </c>
      <c r="C10" s="2" t="s">
        <v>12</v>
      </c>
      <c r="D10" s="2" t="s">
        <v>21</v>
      </c>
      <c r="E10" s="2" t="n">
        <v>1</v>
      </c>
      <c r="F10" s="2" t="s">
        <v>66</v>
      </c>
      <c r="G10" s="2" t="s">
        <v>29</v>
      </c>
      <c r="H10" s="2" t="s">
        <v>23</v>
      </c>
      <c r="I10" s="2" t="s">
        <v>67</v>
      </c>
      <c r="J10" s="2" t="s">
        <v>68</v>
      </c>
    </row>
    <row r="11" customFormat="false" ht="42" hidden="false" customHeight="true" outlineLevel="0" collapsed="false">
      <c r="A11" s="2" t="s">
        <v>69</v>
      </c>
      <c r="B11" s="3" t="s">
        <v>70</v>
      </c>
      <c r="C11" s="2" t="s">
        <v>12</v>
      </c>
      <c r="D11" s="2" t="s">
        <v>21</v>
      </c>
      <c r="E11" s="2" t="n">
        <v>1</v>
      </c>
      <c r="F11" s="2" t="s">
        <v>71</v>
      </c>
      <c r="G11" s="2" t="s">
        <v>48</v>
      </c>
      <c r="H11" s="2" t="s">
        <v>42</v>
      </c>
      <c r="I11" s="2" t="s">
        <v>72</v>
      </c>
      <c r="J11" s="2" t="s">
        <v>73</v>
      </c>
    </row>
    <row r="12" customFormat="false" ht="42" hidden="false" customHeight="true" outlineLevel="0" collapsed="false">
      <c r="A12" s="2" t="s">
        <v>74</v>
      </c>
      <c r="B12" s="3" t="s">
        <v>75</v>
      </c>
      <c r="C12" s="2" t="s">
        <v>12</v>
      </c>
      <c r="D12" s="2" t="s">
        <v>13</v>
      </c>
      <c r="E12" s="2" t="n">
        <v>1</v>
      </c>
      <c r="F12" s="2" t="s">
        <v>76</v>
      </c>
      <c r="G12" s="2" t="s">
        <v>29</v>
      </c>
      <c r="H12" s="2" t="s">
        <v>30</v>
      </c>
      <c r="I12" s="2" t="s">
        <v>77</v>
      </c>
      <c r="J12" s="2" t="s">
        <v>78</v>
      </c>
    </row>
    <row r="13" customFormat="false" ht="42" hidden="false" customHeight="true" outlineLevel="0" collapsed="false">
      <c r="A13" s="2" t="s">
        <v>79</v>
      </c>
      <c r="B13" s="3" t="s">
        <v>80</v>
      </c>
      <c r="C13" s="2" t="s">
        <v>12</v>
      </c>
      <c r="D13" s="2" t="s">
        <v>21</v>
      </c>
      <c r="E13" s="2" t="n">
        <v>1</v>
      </c>
      <c r="F13" s="2" t="s">
        <v>81</v>
      </c>
      <c r="G13" s="2" t="s">
        <v>48</v>
      </c>
      <c r="H13" s="2" t="s">
        <v>82</v>
      </c>
      <c r="I13" s="2" t="s">
        <v>83</v>
      </c>
      <c r="J13" s="2" t="s">
        <v>84</v>
      </c>
    </row>
    <row r="14" customFormat="false" ht="42" hidden="false" customHeight="true" outlineLevel="0" collapsed="false">
      <c r="A14" s="2" t="s">
        <v>85</v>
      </c>
      <c r="B14" s="3" t="s">
        <v>86</v>
      </c>
      <c r="C14" s="2" t="s">
        <v>12</v>
      </c>
      <c r="D14" s="2" t="s">
        <v>21</v>
      </c>
      <c r="E14" s="2" t="n">
        <v>1</v>
      </c>
      <c r="F14" s="2" t="s">
        <v>87</v>
      </c>
      <c r="G14" s="2" t="s">
        <v>61</v>
      </c>
      <c r="H14" s="2" t="s">
        <v>88</v>
      </c>
      <c r="I14" s="2" t="s">
        <v>89</v>
      </c>
      <c r="J14" s="2" t="s">
        <v>90</v>
      </c>
    </row>
    <row r="15" customFormat="false" ht="42" hidden="false" customHeight="true" outlineLevel="0" collapsed="false">
      <c r="A15" s="2" t="s">
        <v>91</v>
      </c>
      <c r="B15" s="3" t="s">
        <v>92</v>
      </c>
      <c r="C15" s="2" t="s">
        <v>12</v>
      </c>
      <c r="D15" s="2" t="s">
        <v>13</v>
      </c>
      <c r="E15" s="2" t="n">
        <v>2</v>
      </c>
      <c r="F15" s="2" t="s">
        <v>93</v>
      </c>
      <c r="G15" s="2" t="s">
        <v>55</v>
      </c>
      <c r="H15" s="2" t="s">
        <v>42</v>
      </c>
      <c r="I15" s="2" t="s">
        <v>94</v>
      </c>
      <c r="J15" s="2" t="s">
        <v>95</v>
      </c>
    </row>
    <row r="16" customFormat="false" ht="42" hidden="false" customHeight="true" outlineLevel="0" collapsed="false">
      <c r="A16" s="2" t="s">
        <v>96</v>
      </c>
      <c r="B16" s="3" t="s">
        <v>97</v>
      </c>
      <c r="C16" s="2" t="s">
        <v>12</v>
      </c>
      <c r="D16" s="2" t="s">
        <v>21</v>
      </c>
      <c r="E16" s="2" t="n">
        <v>1</v>
      </c>
      <c r="F16" s="2" t="s">
        <v>98</v>
      </c>
      <c r="G16" s="2" t="s">
        <v>48</v>
      </c>
      <c r="H16" s="2" t="s">
        <v>42</v>
      </c>
      <c r="I16" s="2" t="s">
        <v>99</v>
      </c>
      <c r="J16" s="2" t="s">
        <v>100</v>
      </c>
    </row>
    <row r="17" customFormat="false" ht="42" hidden="false" customHeight="true" outlineLevel="0" collapsed="false">
      <c r="A17" s="2" t="s">
        <v>101</v>
      </c>
      <c r="B17" s="3" t="s">
        <v>102</v>
      </c>
      <c r="C17" s="2" t="s">
        <v>12</v>
      </c>
      <c r="D17" s="2" t="s">
        <v>21</v>
      </c>
      <c r="E17" s="2" t="n">
        <v>0</v>
      </c>
      <c r="F17" s="2" t="s">
        <v>103</v>
      </c>
      <c r="G17" s="2" t="s">
        <v>29</v>
      </c>
      <c r="H17" s="2" t="s">
        <v>104</v>
      </c>
      <c r="I17" s="2" t="s">
        <v>105</v>
      </c>
      <c r="J17" s="2" t="s">
        <v>106</v>
      </c>
    </row>
    <row r="18" customFormat="false" ht="42" hidden="false" customHeight="true" outlineLevel="0" collapsed="false">
      <c r="A18" s="4" t="s">
        <v>107</v>
      </c>
      <c r="B18" s="5" t="s">
        <v>108</v>
      </c>
      <c r="C18" s="4" t="s">
        <v>109</v>
      </c>
      <c r="D18" s="4" t="s">
        <v>13</v>
      </c>
      <c r="E18" s="4" t="n">
        <v>2</v>
      </c>
      <c r="F18" s="4" t="s">
        <v>110</v>
      </c>
      <c r="G18" s="4" t="s">
        <v>29</v>
      </c>
      <c r="H18" s="4" t="s">
        <v>111</v>
      </c>
      <c r="I18" s="4" t="s">
        <v>112</v>
      </c>
      <c r="J18" s="4" t="s">
        <v>113</v>
      </c>
    </row>
    <row r="19" customFormat="false" ht="42" hidden="false" customHeight="true" outlineLevel="0" collapsed="false">
      <c r="A19" s="4" t="s">
        <v>114</v>
      </c>
      <c r="B19" s="5" t="s">
        <v>115</v>
      </c>
      <c r="C19" s="4" t="s">
        <v>109</v>
      </c>
      <c r="D19" s="4" t="s">
        <v>21</v>
      </c>
      <c r="E19" s="4" t="n">
        <v>1</v>
      </c>
      <c r="F19" s="4" t="s">
        <v>116</v>
      </c>
      <c r="G19" s="4" t="s">
        <v>61</v>
      </c>
      <c r="H19" s="4" t="s">
        <v>88</v>
      </c>
      <c r="I19" s="4" t="s">
        <v>117</v>
      </c>
      <c r="J19" s="4" t="s">
        <v>118</v>
      </c>
    </row>
    <row r="20" customFormat="false" ht="42" hidden="false" customHeight="true" outlineLevel="0" collapsed="false">
      <c r="A20" s="4" t="s">
        <v>119</v>
      </c>
      <c r="B20" s="5" t="s">
        <v>120</v>
      </c>
      <c r="C20" s="4" t="s">
        <v>109</v>
      </c>
      <c r="D20" s="4" t="s">
        <v>121</v>
      </c>
      <c r="E20" s="4" t="n">
        <v>1</v>
      </c>
      <c r="F20" s="4" t="s">
        <v>122</v>
      </c>
      <c r="G20" s="4" t="s">
        <v>29</v>
      </c>
      <c r="H20" s="4" t="s">
        <v>123</v>
      </c>
      <c r="I20" s="4" t="s">
        <v>124</v>
      </c>
      <c r="J20" s="4" t="s">
        <v>125</v>
      </c>
    </row>
    <row r="21" customFormat="false" ht="42" hidden="false" customHeight="true" outlineLevel="0" collapsed="false">
      <c r="A21" s="4" t="s">
        <v>126</v>
      </c>
      <c r="B21" s="5" t="s">
        <v>127</v>
      </c>
      <c r="C21" s="4" t="s">
        <v>109</v>
      </c>
      <c r="D21" s="4" t="s">
        <v>21</v>
      </c>
      <c r="E21" s="4" t="n">
        <v>1</v>
      </c>
      <c r="F21" s="4" t="s">
        <v>128</v>
      </c>
      <c r="G21" s="4" t="s">
        <v>29</v>
      </c>
      <c r="H21" s="4" t="s">
        <v>30</v>
      </c>
      <c r="I21" s="4" t="s">
        <v>129</v>
      </c>
      <c r="J21" s="4" t="s">
        <v>130</v>
      </c>
    </row>
    <row r="22" customFormat="false" ht="42" hidden="false" customHeight="true" outlineLevel="0" collapsed="false">
      <c r="A22" s="4" t="s">
        <v>131</v>
      </c>
      <c r="B22" s="5" t="s">
        <v>132</v>
      </c>
      <c r="C22" s="4" t="s">
        <v>109</v>
      </c>
      <c r="D22" s="4" t="s">
        <v>13</v>
      </c>
      <c r="E22" s="4" t="n">
        <v>1</v>
      </c>
      <c r="F22" s="4" t="s">
        <v>133</v>
      </c>
      <c r="G22" s="4" t="s">
        <v>55</v>
      </c>
      <c r="H22" s="4" t="s">
        <v>42</v>
      </c>
      <c r="I22" s="4" t="s">
        <v>134</v>
      </c>
      <c r="J22" s="4" t="s">
        <v>135</v>
      </c>
    </row>
    <row r="23" customFormat="false" ht="42" hidden="false" customHeight="true" outlineLevel="0" collapsed="false">
      <c r="A23" s="4" t="s">
        <v>136</v>
      </c>
      <c r="B23" s="5" t="s">
        <v>137</v>
      </c>
      <c r="C23" s="4" t="s">
        <v>109</v>
      </c>
      <c r="D23" s="4" t="s">
        <v>121</v>
      </c>
      <c r="E23" s="4" t="n">
        <v>2</v>
      </c>
      <c r="F23" s="4" t="s">
        <v>138</v>
      </c>
      <c r="G23" s="4" t="s">
        <v>48</v>
      </c>
      <c r="H23" s="4" t="s">
        <v>139</v>
      </c>
      <c r="I23" s="4" t="s">
        <v>140</v>
      </c>
      <c r="J23" s="4" t="s">
        <v>141</v>
      </c>
    </row>
    <row r="24" customFormat="false" ht="42" hidden="false" customHeight="true" outlineLevel="0" collapsed="false">
      <c r="A24" s="4" t="s">
        <v>142</v>
      </c>
      <c r="B24" s="5" t="s">
        <v>143</v>
      </c>
      <c r="C24" s="4" t="s">
        <v>109</v>
      </c>
      <c r="D24" s="4" t="s">
        <v>21</v>
      </c>
      <c r="E24" s="4" t="n">
        <v>2</v>
      </c>
      <c r="F24" s="4" t="s">
        <v>144</v>
      </c>
      <c r="G24" s="4" t="s">
        <v>55</v>
      </c>
      <c r="H24" s="4" t="s">
        <v>104</v>
      </c>
      <c r="I24" s="4" t="s">
        <v>145</v>
      </c>
      <c r="J24" s="4" t="s">
        <v>146</v>
      </c>
    </row>
    <row r="25" customFormat="false" ht="42" hidden="false" customHeight="true" outlineLevel="0" collapsed="false">
      <c r="A25" s="4" t="s">
        <v>147</v>
      </c>
      <c r="B25" s="5" t="s">
        <v>148</v>
      </c>
      <c r="C25" s="4" t="s">
        <v>109</v>
      </c>
      <c r="D25" s="4" t="s">
        <v>21</v>
      </c>
      <c r="E25" s="4" t="n">
        <v>1</v>
      </c>
      <c r="F25" s="4" t="s">
        <v>149</v>
      </c>
      <c r="G25" s="4" t="s">
        <v>61</v>
      </c>
      <c r="H25" s="4" t="s">
        <v>104</v>
      </c>
      <c r="I25" s="4" t="s">
        <v>150</v>
      </c>
      <c r="J25" s="4" t="s">
        <v>151</v>
      </c>
    </row>
    <row r="26" customFormat="false" ht="42" hidden="false" customHeight="true" outlineLevel="0" collapsed="false">
      <c r="A26" s="4" t="s">
        <v>152</v>
      </c>
      <c r="B26" s="5" t="s">
        <v>153</v>
      </c>
      <c r="C26" s="4" t="s">
        <v>109</v>
      </c>
      <c r="D26" s="4" t="s">
        <v>21</v>
      </c>
      <c r="E26" s="4" t="n">
        <v>0</v>
      </c>
      <c r="F26" s="4" t="s">
        <v>154</v>
      </c>
      <c r="G26" s="4" t="s">
        <v>29</v>
      </c>
      <c r="H26" s="4" t="s">
        <v>30</v>
      </c>
      <c r="I26" s="4" t="s">
        <v>155</v>
      </c>
      <c r="J26" s="4" t="s">
        <v>156</v>
      </c>
    </row>
    <row r="27" customFormat="false" ht="42" hidden="false" customHeight="true" outlineLevel="0" collapsed="false">
      <c r="A27" s="4" t="s">
        <v>157</v>
      </c>
      <c r="B27" s="5" t="s">
        <v>158</v>
      </c>
      <c r="C27" s="4" t="s">
        <v>109</v>
      </c>
      <c r="D27" s="4" t="s">
        <v>13</v>
      </c>
      <c r="E27" s="4" t="n">
        <v>2</v>
      </c>
      <c r="F27" s="4" t="s">
        <v>159</v>
      </c>
      <c r="G27" s="4" t="s">
        <v>29</v>
      </c>
      <c r="H27" s="4" t="s">
        <v>160</v>
      </c>
      <c r="I27" s="4" t="s">
        <v>161</v>
      </c>
      <c r="J27" s="4" t="s">
        <v>162</v>
      </c>
    </row>
    <row r="28" customFormat="false" ht="42" hidden="false" customHeight="true" outlineLevel="0" collapsed="false">
      <c r="A28" s="4" t="s">
        <v>163</v>
      </c>
      <c r="B28" s="5" t="s">
        <v>164</v>
      </c>
      <c r="C28" s="4" t="s">
        <v>109</v>
      </c>
      <c r="D28" s="4" t="s">
        <v>121</v>
      </c>
      <c r="E28" s="4" t="n">
        <v>2</v>
      </c>
      <c r="F28" s="4" t="s">
        <v>165</v>
      </c>
      <c r="G28" s="4" t="s">
        <v>48</v>
      </c>
      <c r="H28" s="4" t="s">
        <v>166</v>
      </c>
      <c r="I28" s="4" t="s">
        <v>167</v>
      </c>
      <c r="J28" s="4" t="s">
        <v>168</v>
      </c>
    </row>
    <row r="29" customFormat="false" ht="42" hidden="false" customHeight="true" outlineLevel="0" collapsed="false">
      <c r="A29" s="4" t="s">
        <v>169</v>
      </c>
      <c r="B29" s="5" t="s">
        <v>170</v>
      </c>
      <c r="C29" s="4" t="s">
        <v>109</v>
      </c>
      <c r="D29" s="4" t="s">
        <v>13</v>
      </c>
      <c r="E29" s="4" t="n">
        <v>2</v>
      </c>
      <c r="F29" s="4" t="s">
        <v>171</v>
      </c>
      <c r="G29" s="4" t="s">
        <v>61</v>
      </c>
      <c r="H29" s="4" t="s">
        <v>36</v>
      </c>
      <c r="I29" s="4" t="s">
        <v>172</v>
      </c>
      <c r="J29" s="4" t="s">
        <v>173</v>
      </c>
    </row>
    <row r="30" customFormat="false" ht="42" hidden="false" customHeight="true" outlineLevel="0" collapsed="false">
      <c r="A30" s="4" t="s">
        <v>174</v>
      </c>
      <c r="B30" s="5" t="s">
        <v>175</v>
      </c>
      <c r="C30" s="4" t="s">
        <v>109</v>
      </c>
      <c r="D30" s="4" t="s">
        <v>21</v>
      </c>
      <c r="E30" s="4" t="n">
        <v>2</v>
      </c>
      <c r="F30" s="4" t="s">
        <v>176</v>
      </c>
      <c r="G30" s="4" t="s">
        <v>48</v>
      </c>
      <c r="H30" s="4" t="s">
        <v>30</v>
      </c>
      <c r="I30" s="4" t="s">
        <v>177</v>
      </c>
      <c r="J30" s="4" t="s">
        <v>178</v>
      </c>
    </row>
    <row r="31" customFormat="false" ht="42" hidden="false" customHeight="true" outlineLevel="0" collapsed="false">
      <c r="A31" s="4" t="s">
        <v>179</v>
      </c>
      <c r="B31" s="5" t="s">
        <v>180</v>
      </c>
      <c r="C31" s="4" t="s">
        <v>109</v>
      </c>
      <c r="D31" s="4" t="s">
        <v>21</v>
      </c>
      <c r="E31" s="4" t="n">
        <v>1</v>
      </c>
      <c r="F31" s="4" t="s">
        <v>181</v>
      </c>
      <c r="G31" s="4" t="s">
        <v>29</v>
      </c>
      <c r="H31" s="4" t="s">
        <v>182</v>
      </c>
      <c r="I31" s="4" t="s">
        <v>183</v>
      </c>
      <c r="J31" s="4" t="s">
        <v>184</v>
      </c>
    </row>
    <row r="32" customFormat="false" ht="42" hidden="false" customHeight="true" outlineLevel="0" collapsed="false">
      <c r="A32" s="6" t="s">
        <v>185</v>
      </c>
      <c r="B32" s="7" t="s">
        <v>186</v>
      </c>
      <c r="C32" s="6" t="s">
        <v>187</v>
      </c>
      <c r="D32" s="6" t="s">
        <v>13</v>
      </c>
      <c r="E32" s="6" t="n">
        <v>3</v>
      </c>
      <c r="F32" s="6" t="s">
        <v>188</v>
      </c>
      <c r="G32" s="6" t="s">
        <v>29</v>
      </c>
      <c r="H32" s="6" t="s">
        <v>36</v>
      </c>
      <c r="I32" s="6" t="s">
        <v>189</v>
      </c>
      <c r="J32" s="6" t="s">
        <v>190</v>
      </c>
    </row>
    <row r="33" customFormat="false" ht="42" hidden="false" customHeight="true" outlineLevel="0" collapsed="false">
      <c r="A33" s="6" t="s">
        <v>191</v>
      </c>
      <c r="B33" s="7" t="s">
        <v>192</v>
      </c>
      <c r="C33" s="6" t="s">
        <v>187</v>
      </c>
      <c r="D33" s="6" t="s">
        <v>121</v>
      </c>
      <c r="E33" s="6" t="n">
        <v>2</v>
      </c>
      <c r="F33" s="6" t="s">
        <v>193</v>
      </c>
      <c r="G33" s="6" t="s">
        <v>29</v>
      </c>
      <c r="H33" s="6" t="s">
        <v>123</v>
      </c>
      <c r="I33" s="6" t="s">
        <v>194</v>
      </c>
      <c r="J33" s="6" t="s">
        <v>195</v>
      </c>
    </row>
    <row r="34" customFormat="false" ht="42" hidden="false" customHeight="true" outlineLevel="0" collapsed="false">
      <c r="A34" s="6" t="s">
        <v>196</v>
      </c>
      <c r="B34" s="7" t="s">
        <v>197</v>
      </c>
      <c r="C34" s="6" t="s">
        <v>187</v>
      </c>
      <c r="D34" s="6" t="s">
        <v>21</v>
      </c>
      <c r="E34" s="6" t="n">
        <v>2</v>
      </c>
      <c r="F34" s="6" t="s">
        <v>198</v>
      </c>
      <c r="G34" s="6" t="s">
        <v>61</v>
      </c>
      <c r="H34" s="6" t="s">
        <v>104</v>
      </c>
      <c r="I34" s="6" t="s">
        <v>199</v>
      </c>
      <c r="J34" s="6" t="s">
        <v>200</v>
      </c>
    </row>
    <row r="35" customFormat="false" ht="42" hidden="false" customHeight="true" outlineLevel="0" collapsed="false">
      <c r="A35" s="6" t="s">
        <v>201</v>
      </c>
      <c r="B35" s="7" t="s">
        <v>202</v>
      </c>
      <c r="C35" s="6" t="s">
        <v>187</v>
      </c>
      <c r="D35" s="6" t="s">
        <v>121</v>
      </c>
      <c r="E35" s="6" t="n">
        <v>3</v>
      </c>
      <c r="F35" s="6" t="s">
        <v>203</v>
      </c>
      <c r="G35" s="6" t="s">
        <v>61</v>
      </c>
      <c r="H35" s="6" t="s">
        <v>139</v>
      </c>
      <c r="I35" s="6" t="s">
        <v>204</v>
      </c>
      <c r="J35" s="6" t="s">
        <v>205</v>
      </c>
    </row>
    <row r="36" customFormat="false" ht="42" hidden="false" customHeight="true" outlineLevel="0" collapsed="false">
      <c r="A36" s="6" t="s">
        <v>206</v>
      </c>
      <c r="B36" s="7" t="s">
        <v>207</v>
      </c>
      <c r="C36" s="6" t="s">
        <v>187</v>
      </c>
      <c r="D36" s="6" t="s">
        <v>121</v>
      </c>
      <c r="E36" s="6" t="n">
        <v>2</v>
      </c>
      <c r="F36" s="6" t="s">
        <v>208</v>
      </c>
      <c r="G36" s="6" t="s">
        <v>48</v>
      </c>
      <c r="H36" s="6" t="s">
        <v>209</v>
      </c>
      <c r="I36" s="6" t="s">
        <v>210</v>
      </c>
      <c r="J36" s="6" t="s">
        <v>211</v>
      </c>
    </row>
    <row r="37" customFormat="false" ht="42" hidden="false" customHeight="true" outlineLevel="0" collapsed="false">
      <c r="A37" s="6" t="s">
        <v>212</v>
      </c>
      <c r="B37" s="7" t="s">
        <v>213</v>
      </c>
      <c r="C37" s="6" t="s">
        <v>187</v>
      </c>
      <c r="D37" s="6" t="s">
        <v>21</v>
      </c>
      <c r="E37" s="6" t="n">
        <v>2</v>
      </c>
      <c r="F37" s="6" t="s">
        <v>214</v>
      </c>
      <c r="G37" s="6" t="s">
        <v>55</v>
      </c>
      <c r="H37" s="6" t="s">
        <v>104</v>
      </c>
      <c r="I37" s="6" t="s">
        <v>215</v>
      </c>
      <c r="J37" s="6" t="s">
        <v>216</v>
      </c>
    </row>
    <row r="38" customFormat="false" ht="42" hidden="false" customHeight="true" outlineLevel="0" collapsed="false">
      <c r="A38" s="6" t="s">
        <v>217</v>
      </c>
      <c r="B38" s="7" t="s">
        <v>218</v>
      </c>
      <c r="C38" s="6" t="s">
        <v>187</v>
      </c>
      <c r="D38" s="6" t="s">
        <v>121</v>
      </c>
      <c r="E38" s="6" t="n">
        <v>3</v>
      </c>
      <c r="F38" s="6" t="s">
        <v>219</v>
      </c>
      <c r="G38" s="6" t="s">
        <v>29</v>
      </c>
      <c r="H38" s="6" t="s">
        <v>166</v>
      </c>
      <c r="I38" s="6" t="s">
        <v>220</v>
      </c>
      <c r="J38" s="6" t="s">
        <v>221</v>
      </c>
    </row>
    <row r="39" customFormat="false" ht="42" hidden="false" customHeight="true" outlineLevel="0" collapsed="false">
      <c r="A39" s="6" t="s">
        <v>222</v>
      </c>
      <c r="B39" s="7" t="s">
        <v>223</v>
      </c>
      <c r="C39" s="6" t="s">
        <v>187</v>
      </c>
      <c r="D39" s="6" t="s">
        <v>21</v>
      </c>
      <c r="E39" s="6" t="n">
        <v>2</v>
      </c>
      <c r="F39" s="6" t="s">
        <v>224</v>
      </c>
      <c r="G39" s="6" t="s">
        <v>48</v>
      </c>
      <c r="H39" s="6" t="s">
        <v>225</v>
      </c>
      <c r="I39" s="6" t="s">
        <v>226</v>
      </c>
      <c r="J39" s="6" t="s">
        <v>227</v>
      </c>
    </row>
    <row r="40" customFormat="false" ht="42" hidden="false" customHeight="true" outlineLevel="0" collapsed="false">
      <c r="A40" s="6" t="s">
        <v>228</v>
      </c>
      <c r="B40" s="7" t="s">
        <v>229</v>
      </c>
      <c r="C40" s="6" t="s">
        <v>187</v>
      </c>
      <c r="D40" s="6" t="s">
        <v>13</v>
      </c>
      <c r="E40" s="6" t="n">
        <v>3</v>
      </c>
      <c r="F40" s="6" t="s">
        <v>230</v>
      </c>
      <c r="G40" s="6" t="s">
        <v>29</v>
      </c>
      <c r="H40" s="6" t="s">
        <v>36</v>
      </c>
      <c r="I40" s="6" t="s">
        <v>231</v>
      </c>
      <c r="J40" s="6" t="s">
        <v>232</v>
      </c>
    </row>
    <row r="41" customFormat="false" ht="42" hidden="false" customHeight="true" outlineLevel="0" collapsed="false">
      <c r="A41" s="6" t="s">
        <v>233</v>
      </c>
      <c r="B41" s="7" t="s">
        <v>234</v>
      </c>
      <c r="C41" s="6" t="s">
        <v>187</v>
      </c>
      <c r="D41" s="6" t="s">
        <v>21</v>
      </c>
      <c r="E41" s="6" t="n">
        <v>3</v>
      </c>
      <c r="F41" s="6" t="s">
        <v>235</v>
      </c>
      <c r="G41" s="6" t="s">
        <v>29</v>
      </c>
      <c r="H41" s="6" t="s">
        <v>236</v>
      </c>
      <c r="I41" s="6" t="s">
        <v>237</v>
      </c>
      <c r="J41" s="6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17.35" hidden="false" customHeight="false" outlineLevel="0" collapsed="false">
      <c r="A1" s="8" t="s">
        <v>239</v>
      </c>
    </row>
    <row r="3" customFormat="false" ht="15" hidden="false" customHeight="false" outlineLevel="0" collapsed="false">
      <c r="A3" s="9" t="s">
        <v>2</v>
      </c>
      <c r="B3" s="9" t="s">
        <v>240</v>
      </c>
      <c r="C3" s="9" t="s">
        <v>241</v>
      </c>
      <c r="D3" s="9" t="s">
        <v>3</v>
      </c>
      <c r="E3" s="9" t="s">
        <v>240</v>
      </c>
    </row>
    <row r="4" customFormat="false" ht="15" hidden="false" customHeight="false" outlineLevel="0" collapsed="false">
      <c r="A4" s="10" t="s">
        <v>12</v>
      </c>
      <c r="B4" s="10" t="n">
        <f aca="false">COUNTIF('Luminar Cards'!C:C,"Common")</f>
        <v>16</v>
      </c>
      <c r="C4" s="10" t="s">
        <v>242</v>
      </c>
      <c r="D4" s="11" t="s">
        <v>13</v>
      </c>
      <c r="E4" s="11" t="n">
        <f aca="false">COUNTIF('Luminar Cards'!D:D,"Attack")</f>
        <v>11</v>
      </c>
    </row>
    <row r="5" customFormat="false" ht="15" hidden="false" customHeight="false" outlineLevel="0" collapsed="false">
      <c r="A5" s="12" t="s">
        <v>109</v>
      </c>
      <c r="B5" s="12" t="n">
        <f aca="false">COUNTIF('Luminar Cards'!C:C,"Uncommon")</f>
        <v>14</v>
      </c>
      <c r="C5" s="12" t="s">
        <v>243</v>
      </c>
      <c r="D5" s="11" t="s">
        <v>21</v>
      </c>
      <c r="E5" s="11" t="n">
        <f aca="false">COUNTIF('Luminar Cards'!D:D,"Skill")</f>
        <v>22</v>
      </c>
    </row>
    <row r="6" customFormat="false" ht="15" hidden="false" customHeight="false" outlineLevel="0" collapsed="false">
      <c r="A6" s="13" t="s">
        <v>187</v>
      </c>
      <c r="B6" s="13" t="n">
        <f aca="false">COUNTIF('Luminar Cards'!C:C,"Rare")</f>
        <v>10</v>
      </c>
      <c r="C6" s="13" t="s">
        <v>244</v>
      </c>
      <c r="D6" s="11" t="s">
        <v>121</v>
      </c>
      <c r="E6" s="11" t="n">
        <f aca="false">COUNTIF('Luminar Cards'!D:D,"Power")</f>
        <v>7</v>
      </c>
    </row>
    <row r="7" customFormat="false" ht="15" hidden="false" customHeight="false" outlineLevel="0" collapsed="false">
      <c r="A7" s="14" t="s">
        <v>245</v>
      </c>
      <c r="B7" s="14" t="n">
        <f aca="false">SUM(B4:B6)</f>
        <v>40</v>
      </c>
    </row>
    <row r="10" customFormat="false" ht="15" hidden="false" customHeight="false" outlineLevel="0" collapsed="false">
      <c r="A10" s="9" t="s">
        <v>6</v>
      </c>
      <c r="B10" s="9" t="s">
        <v>246</v>
      </c>
      <c r="D10" s="9" t="s">
        <v>4</v>
      </c>
      <c r="E10" s="9" t="s">
        <v>240</v>
      </c>
    </row>
    <row r="11" customFormat="false" ht="15" hidden="false" customHeight="false" outlineLevel="0" collapsed="false">
      <c r="A11" s="11" t="s">
        <v>29</v>
      </c>
      <c r="B11" s="11" t="n">
        <f aca="false">COUNTIF('Luminar Cards'!G:G,"Channel Storm")</f>
        <v>17</v>
      </c>
      <c r="D11" s="11" t="n">
        <v>0</v>
      </c>
      <c r="E11" s="11" t="n">
        <f aca="false">COUNTIF('Luminar Cards'!E:E,0)</f>
        <v>3</v>
      </c>
    </row>
    <row r="12" customFormat="false" ht="15" hidden="false" customHeight="false" outlineLevel="0" collapsed="false">
      <c r="A12" s="11" t="s">
        <v>48</v>
      </c>
      <c r="B12" s="11" t="n">
        <f aca="false">COUNTIF('Luminar Cards'!G:G,"Radiant Shield")</f>
        <v>9</v>
      </c>
      <c r="D12" s="11" t="n">
        <v>1</v>
      </c>
      <c r="E12" s="11" t="n">
        <f aca="false">COUNTIF('Luminar Cards'!E:E,1)</f>
        <v>19</v>
      </c>
    </row>
    <row r="13" customFormat="false" ht="15" hidden="false" customHeight="false" outlineLevel="0" collapsed="false">
      <c r="A13" s="11" t="s">
        <v>61</v>
      </c>
      <c r="B13" s="11" t="n">
        <f aca="false">COUNTIF('Luminar Cards'!G:G,"Lightweave")</f>
        <v>7</v>
      </c>
      <c r="D13" s="11" t="n">
        <v>2</v>
      </c>
      <c r="E13" s="11" t="n">
        <f aca="false">COUNTIF('Luminar Cards'!E:E,2)</f>
        <v>13</v>
      </c>
    </row>
    <row r="14" customFormat="false" ht="15" hidden="false" customHeight="false" outlineLevel="0" collapsed="false">
      <c r="A14" s="11" t="s">
        <v>55</v>
      </c>
      <c r="B14" s="11" t="n">
        <f aca="false">COUNTIF('Luminar Cards'!G:G,"Support")</f>
        <v>5</v>
      </c>
      <c r="D14" s="11" t="n">
        <v>3</v>
      </c>
      <c r="E14" s="11" t="n">
        <f aca="false">COUNTIF('Luminar Cards'!E:E,3)</f>
        <v>5</v>
      </c>
    </row>
    <row r="15" customFormat="false" ht="15" hidden="false" customHeight="false" outlineLevel="0" collapsed="false">
      <c r="A15" s="11" t="s">
        <v>15</v>
      </c>
      <c r="B15" s="11" t="n">
        <f aca="false">COUNTIF('Luminar Cards'!G:G,"Basic")</f>
        <v>2</v>
      </c>
    </row>
    <row r="18" customFormat="false" ht="15" hidden="false" customHeight="false" outlineLevel="0" collapsed="false">
      <c r="A18" s="15" t="s">
        <v>247</v>
      </c>
      <c r="B18" s="15" t="n">
        <f aca="false">COUNTIF('Luminar Cards'!F:F,"*Channel*")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8" t="s">
        <v>248</v>
      </c>
    </row>
    <row r="3" customFormat="false" ht="15" hidden="false" customHeight="false" outlineLevel="0" collapsed="false">
      <c r="A3" s="9" t="s">
        <v>240</v>
      </c>
      <c r="B3" s="9" t="s">
        <v>249</v>
      </c>
      <c r="C3" s="9" t="s">
        <v>2</v>
      </c>
      <c r="D3" s="9" t="s">
        <v>4</v>
      </c>
      <c r="E3" s="9" t="s">
        <v>5</v>
      </c>
    </row>
    <row r="4" customFormat="false" ht="15" hidden="false" customHeight="false" outlineLevel="0" collapsed="false">
      <c r="A4" s="16" t="n">
        <v>5</v>
      </c>
      <c r="B4" s="16" t="s">
        <v>11</v>
      </c>
      <c r="C4" s="16" t="s">
        <v>15</v>
      </c>
      <c r="D4" s="16" t="n">
        <v>1</v>
      </c>
      <c r="E4" s="16" t="s">
        <v>14</v>
      </c>
    </row>
    <row r="5" customFormat="false" ht="15" hidden="false" customHeight="false" outlineLevel="0" collapsed="false">
      <c r="A5" s="16" t="n">
        <v>4</v>
      </c>
      <c r="B5" s="16" t="s">
        <v>20</v>
      </c>
      <c r="C5" s="16" t="s">
        <v>15</v>
      </c>
      <c r="D5" s="16" t="n">
        <v>1</v>
      </c>
      <c r="E5" s="16" t="s">
        <v>22</v>
      </c>
    </row>
    <row r="6" customFormat="false" ht="15" hidden="false" customHeight="false" outlineLevel="0" collapsed="false">
      <c r="A6" s="16" t="n">
        <v>1</v>
      </c>
      <c r="B6" s="16" t="s">
        <v>250</v>
      </c>
      <c r="C6" s="16" t="s">
        <v>251</v>
      </c>
      <c r="D6" s="16" t="s">
        <v>252</v>
      </c>
      <c r="E6" s="16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8" t="s">
        <v>254</v>
      </c>
    </row>
    <row r="3" customFormat="false" ht="15" hidden="false" customHeight="false" outlineLevel="0" collapsed="false">
      <c r="A3" s="9" t="s">
        <v>255</v>
      </c>
      <c r="B3" s="9" t="s">
        <v>256</v>
      </c>
      <c r="C3" s="9" t="s">
        <v>257</v>
      </c>
    </row>
    <row r="4" customFormat="false" ht="49.5" hidden="false" customHeight="true" outlineLevel="0" collapsed="false">
      <c r="A4" s="17" t="s">
        <v>258</v>
      </c>
      <c r="B4" s="18" t="s">
        <v>259</v>
      </c>
      <c r="C4" s="18" t="s">
        <v>260</v>
      </c>
    </row>
    <row r="5" customFormat="false" ht="49.5" hidden="false" customHeight="true" outlineLevel="0" collapsed="false">
      <c r="A5" s="17" t="s">
        <v>261</v>
      </c>
      <c r="B5" s="18" t="s">
        <v>262</v>
      </c>
      <c r="C5" s="18" t="s">
        <v>263</v>
      </c>
    </row>
    <row r="6" customFormat="false" ht="49.5" hidden="false" customHeight="true" outlineLevel="0" collapsed="false">
      <c r="A6" s="17" t="s">
        <v>264</v>
      </c>
      <c r="B6" s="18" t="s">
        <v>265</v>
      </c>
      <c r="C6" s="18" t="s">
        <v>266</v>
      </c>
    </row>
    <row r="7" customFormat="false" ht="49.5" hidden="false" customHeight="true" outlineLevel="0" collapsed="false">
      <c r="A7" s="17" t="s">
        <v>267</v>
      </c>
      <c r="B7" s="18" t="s">
        <v>268</v>
      </c>
      <c r="C7" s="18" t="s">
        <v>269</v>
      </c>
    </row>
    <row r="8" customFormat="false" ht="49.5" hidden="false" customHeight="true" outlineLevel="0" collapsed="false">
      <c r="A8" s="17" t="s">
        <v>270</v>
      </c>
      <c r="B8" s="18" t="s">
        <v>271</v>
      </c>
      <c r="C8" s="18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2026-04-22T15:35:03Z</dcterms:created>
  <dc:creator>openpyxl</dc:creator>
  <dc:description/>
  <dc:language>en-US</dc:language>
  <cp:lastModifiedBy/>
  <dcterms:modified xsi:type="dcterms:W3CDTF">2026-04-22T15:35:03Z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