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gsmiths Cards" sheetId="1" state="visible" r:id="rId3"/>
    <sheet name="Summary" sheetId="2" state="visible" r:id="rId4"/>
    <sheet name="Starter Deck" sheetId="3" state="visible" r:id="rId5"/>
    <sheet name="Combo Chains" sheetId="4" state="visible" r:id="rId6"/>
    <sheet name="Augment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<sst xmlns="http://schemas.openxmlformats.org/spreadsheetml/2006/main" count="483" uniqueCount="298">
  <si>
    <t xml:space="preserve">ID</t>
  </si>
  <si>
    <t xml:space="preserve">Name</t>
  </si>
  <si>
    <t xml:space="preserve">Rarity</t>
  </si>
  <si>
    <t xml:space="preserve">Type</t>
  </si>
  <si>
    <t xml:space="preserve">Cost</t>
  </si>
  <si>
    <t xml:space="preserve">Effect</t>
  </si>
  <si>
    <t xml:space="preserve">Archetype</t>
  </si>
  <si>
    <t xml:space="preserve">Evolution Trigger</t>
  </si>
  <si>
    <t xml:space="preserve">Evolves Into</t>
  </si>
  <si>
    <t xml:space="preserve">Evolved Effect</t>
  </si>
  <si>
    <t xml:space="preserve">C-001</t>
  </si>
  <si>
    <t xml:space="preserve">Rivet Strike</t>
  </si>
  <si>
    <t xml:space="preserve">Common</t>
  </si>
  <si>
    <t xml:space="preserve">Attack</t>
  </si>
  <si>
    <t xml:space="preserve">Deal 7 damage.</t>
  </si>
  <si>
    <t xml:space="preserve">Basic</t>
  </si>
  <si>
    <t xml:space="preserve">Played 10 times</t>
  </si>
  <si>
    <t xml:space="preserve">Piston Strike</t>
  </si>
  <si>
    <t xml:space="preserve">Deal 10 damage.</t>
  </si>
  <si>
    <t xml:space="preserve">C-002</t>
  </si>
  <si>
    <t xml:space="preserve">Plate Shield</t>
  </si>
  <si>
    <t xml:space="preserve">Skill</t>
  </si>
  <si>
    <t xml:space="preserve">Gain 6 Block.</t>
  </si>
  <si>
    <t xml:space="preserve">Played 8 times</t>
  </si>
  <si>
    <t xml:space="preserve">Reinforced Plate</t>
  </si>
  <si>
    <t xml:space="preserve">Gain 8 Block.</t>
  </si>
  <si>
    <t xml:space="preserve">C-003</t>
  </si>
  <si>
    <t xml:space="preserve">Tinker</t>
  </si>
  <si>
    <t xml:space="preserve">Draw 1 card. The next Augment you play this turn costs 0.</t>
  </si>
  <si>
    <t xml:space="preserve">Overclock Combo</t>
  </si>
  <si>
    <t xml:space="preserve">Played 5 times</t>
  </si>
  <si>
    <t xml:space="preserve">Jury-Rig</t>
  </si>
  <si>
    <t xml:space="preserve">Draw 1 card. The next 2 Augments you play this turn cost 0.</t>
  </si>
  <si>
    <t xml:space="preserve">C-004</t>
  </si>
  <si>
    <t xml:space="preserve">Socket Wrench</t>
  </si>
  <si>
    <t xml:space="preserve">Deal 5 damage + 3 damage per Augment on this card.</t>
  </si>
  <si>
    <t xml:space="preserve">Siege Engine</t>
  </si>
  <si>
    <t xml:space="preserve">Played with 2 Augments 5 times</t>
  </si>
  <si>
    <t xml:space="preserve">Torque Wrench</t>
  </si>
  <si>
    <t xml:space="preserve">Deal 6 damage + 4 damage per Augment on this card.</t>
  </si>
  <si>
    <t xml:space="preserve">C-005</t>
  </si>
  <si>
    <t xml:space="preserve">Hammer Blow</t>
  </si>
  <si>
    <t xml:space="preserve">Deal 9 damage. Exhaust.</t>
  </si>
  <si>
    <t xml:space="preserve">Played 6 times</t>
  </si>
  <si>
    <t xml:space="preserve">Sledge Hammer</t>
  </si>
  <si>
    <t xml:space="preserve">Deal 12 damage. Exhaust.</t>
  </si>
  <si>
    <t xml:space="preserve">C-006</t>
  </si>
  <si>
    <t xml:space="preserve">Bolt Thrower</t>
  </si>
  <si>
    <t xml:space="preserve">Deal 3 damage twice.</t>
  </si>
  <si>
    <t xml:space="preserve">Nail Gun</t>
  </si>
  <si>
    <t xml:space="preserve">Deal 4 damage twice.</t>
  </si>
  <si>
    <t xml:space="preserve">C-007</t>
  </si>
  <si>
    <t xml:space="preserve">Gear Shift</t>
  </si>
  <si>
    <t xml:space="preserve">Gain 4 Block. Draw 1 card.</t>
  </si>
  <si>
    <t xml:space="preserve">Heavy Plating</t>
  </si>
  <si>
    <t xml:space="preserve">Shifter</t>
  </si>
  <si>
    <t xml:space="preserve">Gain 5 Block. Draw 2 cards.</t>
  </si>
  <si>
    <t xml:space="preserve">C-008</t>
  </si>
  <si>
    <t xml:space="preserve">Pneumatic Jab</t>
  </si>
  <si>
    <t xml:space="preserve">Deal 13 damage.</t>
  </si>
  <si>
    <t xml:space="preserve">Hydraulic Jab</t>
  </si>
  <si>
    <t xml:space="preserve">Deal 16 damage.</t>
  </si>
  <si>
    <t xml:space="preserve">C-009</t>
  </si>
  <si>
    <t xml:space="preserve">Crosswire</t>
  </si>
  <si>
    <t xml:space="preserve">Your next Attack this turn costs 0.</t>
  </si>
  <si>
    <t xml:space="preserve">Short Circuit</t>
  </si>
  <si>
    <t xml:space="preserve">Your next 2 Attacks this turn cost 0.</t>
  </si>
  <si>
    <t xml:space="preserve">C-010</t>
  </si>
  <si>
    <t xml:space="preserve">Servo Shield</t>
  </si>
  <si>
    <t xml:space="preserve">Power</t>
  </si>
  <si>
    <t xml:space="preserve">At start of each turn, gain 3 Block.</t>
  </si>
  <si>
    <t xml:space="preserve">Triggered 8 times</t>
  </si>
  <si>
    <t xml:space="preserve">Servo Bulwark</t>
  </si>
  <si>
    <t xml:space="preserve">At start of each turn, gain 4 Block.</t>
  </si>
  <si>
    <t xml:space="preserve">C-011</t>
  </si>
  <si>
    <t xml:space="preserve">Deploy Drone</t>
  </si>
  <si>
    <t xml:space="preserve">Summon a Drone (5 HP, deals 3 damage at turn end, lasts 3 turns).</t>
  </si>
  <si>
    <t xml:space="preserve">Deploy Scout</t>
  </si>
  <si>
    <t xml:space="preserve">Summon a Scout (7 HP, deals 4 damage at turn end, lasts 4 turns).</t>
  </si>
  <si>
    <t xml:space="preserve">C-012</t>
  </si>
  <si>
    <t xml:space="preserve">Toolkit</t>
  </si>
  <si>
    <t xml:space="preserve">Add a random Augment to your hand.</t>
  </si>
  <si>
    <t xml:space="preserve">Master Toolkit</t>
  </si>
  <si>
    <t xml:space="preserve">Add 2 random Augments to your hand.</t>
  </si>
  <si>
    <t xml:space="preserve">C-013</t>
  </si>
  <si>
    <t xml:space="preserve">Overdrive</t>
  </si>
  <si>
    <t xml:space="preserve">Gain 1 Energy. Draw 2 cards. Take 3 damage.</t>
  </si>
  <si>
    <t xml:space="preserve">Redline</t>
  </si>
  <si>
    <t xml:space="preserve">Gain 1 Energy. Draw 2 cards. Take 2 damage.</t>
  </si>
  <si>
    <t xml:space="preserve">C-014</t>
  </si>
  <si>
    <t xml:space="preserve">Augment: Edge</t>
  </si>
  <si>
    <t xml:space="preserve">Augment</t>
  </si>
  <si>
    <t xml:space="preserve">Attach to a card in hand: card deals +3 damage. Exhaust.</t>
  </si>
  <si>
    <t xml:space="preserve">Attached 5 times</t>
  </si>
  <si>
    <t xml:space="preserve">Augment: Razor Edge</t>
  </si>
  <si>
    <t xml:space="preserve">Attach to a card in hand: card deals +5 damage. Exhaust.</t>
  </si>
  <si>
    <t xml:space="preserve">C-015</t>
  </si>
  <si>
    <t xml:space="preserve">Augment: Plate</t>
  </si>
  <si>
    <t xml:space="preserve">Attach to a card in hand: card grants +3 Block. Exhaust.</t>
  </si>
  <si>
    <t xml:space="preserve">Augment: Kite Plate</t>
  </si>
  <si>
    <t xml:space="preserve">Attach to a card in hand: card grants +5 Block. Exhaust.</t>
  </si>
  <si>
    <t xml:space="preserve">C-016</t>
  </si>
  <si>
    <t xml:space="preserve">Augment: Jolt</t>
  </si>
  <si>
    <t xml:space="preserve">Attach to an Attack in hand: attack applies Weak 1. Exhaust.</t>
  </si>
  <si>
    <t xml:space="preserve">Augment: Arc Jolt</t>
  </si>
  <si>
    <t xml:space="preserve">Attach to an Attack in hand: attack applies Weak 2. Exhaust.</t>
  </si>
  <si>
    <t xml:space="preserve">C-017</t>
  </si>
  <si>
    <t xml:space="preserve">Heavy Wrench</t>
  </si>
  <si>
    <t xml:space="preserve">Uncommon</t>
  </si>
  <si>
    <t xml:space="preserve">Crushing Wrench</t>
  </si>
  <si>
    <t xml:space="preserve">Deal 20 damage.</t>
  </si>
  <si>
    <t xml:space="preserve">C-018</t>
  </si>
  <si>
    <t xml:space="preserve">Shock Coil</t>
  </si>
  <si>
    <t xml:space="preserve">Deal 5 damage. Apply Weak 2.</t>
  </si>
  <si>
    <t xml:space="preserve">Induction Coil</t>
  </si>
  <si>
    <t xml:space="preserve">Deal 7 damage. Apply Weak 3.</t>
  </si>
  <si>
    <t xml:space="preserve">C-019</t>
  </si>
  <si>
    <t xml:space="preserve">Deploy Sentry</t>
  </si>
  <si>
    <t xml:space="preserve">Summon a Sentry (8 HP, deals 6 damage at turn end, lasts 4 turns).</t>
  </si>
  <si>
    <t xml:space="preserve">Deploy Vanguard</t>
  </si>
  <si>
    <t xml:space="preserve">Summon a Vanguard (12 HP, deals 8 damage at turn end, lasts 4 turns).</t>
  </si>
  <si>
    <t xml:space="preserve">C-020</t>
  </si>
  <si>
    <t xml:space="preserve">Full Plate</t>
  </si>
  <si>
    <t xml:space="preserve">Gain 14 Block.</t>
  </si>
  <si>
    <t xml:space="preserve">Siege Plate</t>
  </si>
  <si>
    <t xml:space="preserve">Gain 18 Block.</t>
  </si>
  <si>
    <t xml:space="preserve">C-021</t>
  </si>
  <si>
    <t xml:space="preserve">Modular Strike</t>
  </si>
  <si>
    <t xml:space="preserve">Deal 6 damage + 4 damage per Augment on any card in your deck.</t>
  </si>
  <si>
    <t xml:space="preserve">Played with 4+ total augments in deck 5 times</t>
  </si>
  <si>
    <t xml:space="preserve">Lattice Strike</t>
  </si>
  <si>
    <t xml:space="preserve">Deal 8 damage + 5 damage per Augment on any card in your deck.</t>
  </si>
  <si>
    <t xml:space="preserve">C-022</t>
  </si>
  <si>
    <t xml:space="preserve">Automate</t>
  </si>
  <si>
    <t xml:space="preserve">Copy an Augment from a card in your deck and add it to your hand.</t>
  </si>
  <si>
    <t xml:space="preserve">Played 4 times</t>
  </si>
  <si>
    <t xml:space="preserve">Mass Produce</t>
  </si>
  <si>
    <t xml:space="preserve">Copy 2 Augments from cards in your deck and add them to your hand.</t>
  </si>
  <si>
    <t xml:space="preserve">C-023</t>
  </si>
  <si>
    <t xml:space="preserve">Precision Bore</t>
  </si>
  <si>
    <t xml:space="preserve">Deal 10 damage that ignores Block.</t>
  </si>
  <si>
    <t xml:space="preserve">Diamond Bore</t>
  </si>
  <si>
    <t xml:space="preserve">Deal 14 damage that ignores Block.</t>
  </si>
  <si>
    <t xml:space="preserve">C-024</t>
  </si>
  <si>
    <t xml:space="preserve">Whirring Blades</t>
  </si>
  <si>
    <t xml:space="preserve">Deal 4 damage 3 times.</t>
  </si>
  <si>
    <t xml:space="preserve">Buzzsaw</t>
  </si>
  <si>
    <t xml:space="preserve">Deal 5 damage 3 times.</t>
  </si>
  <si>
    <t xml:space="preserve">C-025</t>
  </si>
  <si>
    <t xml:space="preserve">Repair Nanites</t>
  </si>
  <si>
    <t xml:space="preserve">Heal 8 HP.</t>
  </si>
  <si>
    <t xml:space="preserve">Reconstruct</t>
  </si>
  <si>
    <t xml:space="preserve">Heal 12 HP.</t>
  </si>
  <si>
    <t xml:space="preserve">C-026</t>
  </si>
  <si>
    <t xml:space="preserve">Assembly Line</t>
  </si>
  <si>
    <t xml:space="preserve">At end of turn, if you played 3 or more cards this turn, draw 1 card.</t>
  </si>
  <si>
    <t xml:space="preserve">Triggered 10 times</t>
  </si>
  <si>
    <t xml:space="preserve">Production Line</t>
  </si>
  <si>
    <t xml:space="preserve">At end of turn, if you played 3 or more cards this turn, draw 2 cards.</t>
  </si>
  <si>
    <t xml:space="preserve">C-027</t>
  </si>
  <si>
    <t xml:space="preserve">Augment: Core</t>
  </si>
  <si>
    <t xml:space="preserve">Attach to a card in hand: card draws a card when played. Exhaust.</t>
  </si>
  <si>
    <t xml:space="preserve">Augment: Neural Core</t>
  </si>
  <si>
    <t xml:space="preserve">Attach to a card in hand: card draws 2 cards when played. Exhaust.</t>
  </si>
  <si>
    <t xml:space="preserve">C-028</t>
  </si>
  <si>
    <t xml:space="preserve">Augment: Gyro</t>
  </si>
  <si>
    <t xml:space="preserve">Attach to a card in hand: card costs 1 less Energy (min 0). Exhaust.</t>
  </si>
  <si>
    <t xml:space="preserve">Attached 4 times</t>
  </si>
  <si>
    <t xml:space="preserve">Augment: Quantum Gyro</t>
  </si>
  <si>
    <t xml:space="preserve">Attach to a card in hand: card costs 2 less Energy (min 0). Exhaust.</t>
  </si>
  <si>
    <t xml:space="preserve">C-029</t>
  </si>
  <si>
    <t xml:space="preserve">Augment: Bulwark</t>
  </si>
  <si>
    <t xml:space="preserve">Attach to a Skill in hand: Block from this card retains for 1 turn. Exhaust.</t>
  </si>
  <si>
    <t xml:space="preserve">Attached 3 times</t>
  </si>
  <si>
    <t xml:space="preserve">Augment: Aegis Bulwark</t>
  </si>
  <si>
    <t xml:space="preserve">Attach to a Skill in hand: Block from this card retains for 1 turn and gains +2. Exhaust.</t>
  </si>
  <si>
    <t xml:space="preserve">C-030</t>
  </si>
  <si>
    <t xml:space="preserve">Augment: Amp</t>
  </si>
  <si>
    <t xml:space="preserve">Attach to an Attack in hand: once per combat, this card deals double damage. Exhaust.</t>
  </si>
  <si>
    <t xml:space="preserve">Augment: Ultra Amp</t>
  </si>
  <si>
    <t xml:space="preserve">Attach to an Attack in hand: twice per combat, this card deals double damage. Exhaust.</t>
  </si>
  <si>
    <t xml:space="preserve">C-031</t>
  </si>
  <si>
    <t xml:space="preserve">Mecha Form</t>
  </si>
  <si>
    <t xml:space="preserve">Rare</t>
  </si>
  <si>
    <t xml:space="preserve">Gain 3 Strength. All Augment cards cost 0 for the rest of this combat.</t>
  </si>
  <si>
    <t xml:space="preserve">Survived 5 combats</t>
  </si>
  <si>
    <t xml:space="preserve">Titan Form</t>
  </si>
  <si>
    <t xml:space="preserve">Gain 4 Strength. All Augment cards cost 0 for the rest of this combat.</t>
  </si>
  <si>
    <t xml:space="preserve">C-032</t>
  </si>
  <si>
    <t xml:space="preserve">Warforge</t>
  </si>
  <si>
    <t xml:space="preserve">All Augment effects are doubled.</t>
  </si>
  <si>
    <t xml:space="preserve">Deepforge</t>
  </si>
  <si>
    <t xml:space="preserve">All Augment effects are tripled.</t>
  </si>
  <si>
    <t xml:space="preserve">C-033</t>
  </si>
  <si>
    <t xml:space="preserve">Colossus Strike</t>
  </si>
  <si>
    <t xml:space="preserve">Deal 30 damage + 25 damage per Augment on this card.</t>
  </si>
  <si>
    <t xml:space="preserve">Played with 2 Augments 3 times</t>
  </si>
  <si>
    <t xml:space="preserve">Titanforged Strike</t>
  </si>
  <si>
    <t xml:space="preserve">Deal 35 damage + 30 damage per Augment on this card.</t>
  </si>
  <si>
    <t xml:space="preserve">C-034</t>
  </si>
  <si>
    <t xml:space="preserve">Deploy Titan</t>
  </si>
  <si>
    <t xml:space="preserve">Summon a Titan (25 HP, takes 2 actions per turn dealing 10 damage each).</t>
  </si>
  <si>
    <t xml:space="preserve">Played 3 times</t>
  </si>
  <si>
    <t xml:space="preserve">Deploy Warmind</t>
  </si>
  <si>
    <t xml:space="preserve">Summon a Warmind (35 HP, takes 2 actions per turn dealing 14 damage each).</t>
  </si>
  <si>
    <t xml:space="preserve">C-035</t>
  </si>
  <si>
    <t xml:space="preserve">Iron Commandment</t>
  </si>
  <si>
    <t xml:space="preserve">The first Attack you play each turn is treated as having an extra Edge and Jolt Augment.</t>
  </si>
  <si>
    <t xml:space="preserve">Steel Commandment</t>
  </si>
  <si>
    <t xml:space="preserve">The first 2 Attacks you play each turn are treated as having an extra Edge and Jolt Augment.</t>
  </si>
  <si>
    <t xml:space="preserve">C-036</t>
  </si>
  <si>
    <t xml:space="preserve">Overclocked Core</t>
  </si>
  <si>
    <t xml:space="preserve">At combat start, gain 1 extra Energy this turn. Take 2 damage at end of each turn.</t>
  </si>
  <si>
    <t xml:space="preserve">Singularity Core</t>
  </si>
  <si>
    <t xml:space="preserve">At combat start, gain 2 extra Energy this turn. Take 2 damage at end of each turn.</t>
  </si>
  <si>
    <t xml:space="preserve">C-037</t>
  </si>
  <si>
    <t xml:space="preserve">Machine God</t>
  </si>
  <si>
    <t xml:space="preserve">All Drones, Sentries, and Titans you summon have +5 HP and +2 damage.</t>
  </si>
  <si>
    <t xml:space="preserve">War God</t>
  </si>
  <si>
    <t xml:space="preserve">All Drones, Sentries, and Titans you summon have +8 HP and +3 damage.</t>
  </si>
  <si>
    <t xml:space="preserve">C-038</t>
  </si>
  <si>
    <t xml:space="preserve">Augment: Exotic Core</t>
  </si>
  <si>
    <t xml:space="preserve">Attach to a card in hand: card costs 0 and does not exhaust for the rest of this combat. Exhaust.</t>
  </si>
  <si>
    <t xml:space="preserve">Attached 2 times</t>
  </si>
  <si>
    <t xml:space="preserve">Augment: Singularity Core</t>
  </si>
  <si>
    <t xml:space="preserve">Attach to a card in hand: card costs 0, does not exhaust, and duplicates on play for the rest of this combat. Exhaust.</t>
  </si>
  <si>
    <t xml:space="preserve">C-039</t>
  </si>
  <si>
    <t xml:space="preserve">Augment: Inverter</t>
  </si>
  <si>
    <t xml:space="preserve">Attach to a card in hand: attack hits all enemies / skill applies to all allies. Exhaust.</t>
  </si>
  <si>
    <t xml:space="preserve">Augment: Paradox Inverter</t>
  </si>
  <si>
    <t xml:space="preserve">Attach to a card in hand: attack hits all enemies / skill applies to all allies. Effect is doubled. Exhaust.</t>
  </si>
  <si>
    <t xml:space="preserve">C-040</t>
  </si>
  <si>
    <t xml:space="preserve">Reinforce Protocol</t>
  </si>
  <si>
    <t xml:space="preserve">Attach a random Augment to every card in your hand. Exhaust.</t>
  </si>
  <si>
    <t xml:space="preserve">Played 2 times</t>
  </si>
  <si>
    <t xml:space="preserve">War Protocol</t>
  </si>
  <si>
    <t xml:space="preserve">Attach 2 random Augments to every card in your hand. Exhaust.</t>
  </si>
  <si>
    <t xml:space="preserve">Cogsmiths Card Pool — Summary</t>
  </si>
  <si>
    <t xml:space="preserve">Count</t>
  </si>
  <si>
    <t xml:space="preserve">Draft Weight</t>
  </si>
  <si>
    <t xml:space="preserve">60%</t>
  </si>
  <si>
    <t xml:space="preserve">30%</t>
  </si>
  <si>
    <t xml:space="preserve">10%</t>
  </si>
  <si>
    <t xml:space="preserve">Total</t>
  </si>
  <si>
    <t xml:space="preserve">Card Count</t>
  </si>
  <si>
    <t xml:space="preserve">Augment cards in pool</t>
  </si>
  <si>
    <t xml:space="preserve">Cogsmith Artificer — Starter Deck (10 cards)</t>
  </si>
  <si>
    <t xml:space="preserve">Card</t>
  </si>
  <si>
    <t xml:space="preserve">Modular Core</t>
  </si>
  <si>
    <t xml:space="preserve">Special</t>
  </si>
  <si>
    <t xml:space="preserve">Power 1</t>
  </si>
  <si>
    <t xml:space="preserve">The first Augment you play each combat costs 0.</t>
  </si>
  <si>
    <t xml:space="preserve">Cogsmiths Combo Chains</t>
  </si>
  <si>
    <t xml:space="preserve">Combo</t>
  </si>
  <si>
    <t xml:space="preserve">Cards</t>
  </si>
  <si>
    <t xml:space="preserve">Description</t>
  </si>
  <si>
    <t xml:space="preserve">1. Augment Factory</t>
  </si>
  <si>
    <t xml:space="preserve">Toolkit + Automate + Modular Strike</t>
  </si>
  <si>
    <t xml:space="preserve">Toolkit generates random Augments, Automate copies existing ones. 4+ augments in deck by mid-run turns Modular Strike into a 22+ damage 1-cost attack.</t>
  </si>
  <si>
    <t xml:space="preserve">2. Drone Army</t>
  </si>
  <si>
    <t xml:space="preserve">Deploy Drone + Deploy Sentry + Deploy Titan + Assembly Line + Machine God</t>
  </si>
  <si>
    <t xml:space="preserve">Board of summons dealing passive damage each turn. Assembly Line draws cards whenever you play 3+. Machine God buffs all summons. Army fights without you.</t>
  </si>
  <si>
    <t xml:space="preserve">3. Overclock Loop</t>
  </si>
  <si>
    <t xml:space="preserve">Overclocked Core + Overdrive + Augment: Gyro on cheap cards</t>
  </si>
  <si>
    <t xml:space="preserve">Extra Energy + draw cycling through Gyro-discounted cards. Easily 10+ cards per turn with good draws.</t>
  </si>
  <si>
    <t xml:space="preserve">4. Exotic Core Nuke</t>
  </si>
  <si>
    <t xml:space="preserve">Augment: Exotic Core + Colossus Strike + Edge/Amp augments</t>
  </si>
  <si>
    <t xml:space="preserve">Exotic Core makes Colossus Strike 0-cost and non-exhausting. With Edge+Amp attached, that's an 80+ damage attack you can play multiple times per turn.</t>
  </si>
  <si>
    <t xml:space="preserve">5. Commandment Turn</t>
  </si>
  <si>
    <t xml:space="preserve">Iron Commandment + Crosswire + any attacks</t>
  </si>
  <si>
    <t xml:space="preserve">First attack each turn is auto-augmented with Edge+Jolt (free +3 damage and Weak applied). Crosswire makes it free. Subsequent attacks benefit from the Weak.</t>
  </si>
  <si>
    <t xml:space="preserve">Augment Quick Reference</t>
  </si>
  <si>
    <t xml:space="preserve">Category</t>
  </si>
  <si>
    <t xml:space="preserve">Effect Summary</t>
  </si>
  <si>
    <t xml:space="preserve">Best Hosts</t>
  </si>
  <si>
    <t xml:space="preserve">Damage</t>
  </si>
  <si>
    <t xml:space="preserve">+3 damage to attacks</t>
  </si>
  <si>
    <t xml:space="preserve">Colossus Strike, Hammer Blow, Heavy Wrench</t>
  </si>
  <si>
    <t xml:space="preserve">Defense</t>
  </si>
  <si>
    <t xml:space="preserve">+3 Block to skills</t>
  </si>
  <si>
    <t xml:space="preserve">Plate Shield, Full Plate, Gear Shift</t>
  </si>
  <si>
    <t xml:space="preserve">Debuff</t>
  </si>
  <si>
    <t xml:space="preserve">Attack applies Weak 1</t>
  </si>
  <si>
    <t xml:space="preserve">Bolt Thrower, Whirring Blades (per hit)</t>
  </si>
  <si>
    <t xml:space="preserve">Draw</t>
  </si>
  <si>
    <t xml:space="preserve">Card draws when played</t>
  </si>
  <si>
    <t xml:space="preserve">Crosswire, Tinker, any cheap card</t>
  </si>
  <si>
    <t xml:space="preserve">Cost reduced by 1</t>
  </si>
  <si>
    <t xml:space="preserve">Pneumatic Jab, Full Plate, Colossus Strike</t>
  </si>
  <si>
    <t xml:space="preserve">Block retains for 1 turn</t>
  </si>
  <si>
    <t xml:space="preserve">1/combat: double attack damage</t>
  </si>
  <si>
    <t xml:space="preserve">Colossus Strike, Heavy Wrench, Modular Strike</t>
  </si>
  <si>
    <t xml:space="preserve">Ultimate</t>
  </si>
  <si>
    <t xml:space="preserve">Card 0-cost + non-exhaust</t>
  </si>
  <si>
    <t xml:space="preserve">Colossus Strike, Reinforce Protocol, Deploy Titan</t>
  </si>
  <si>
    <t xml:space="preserve">Scope</t>
  </si>
  <si>
    <t xml:space="preserve">Single-target → AoE</t>
  </si>
  <si>
    <t xml:space="preserve">Pneumatic Jab, Hammer Blow, any big single-target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</si>
</sst>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E8E8E8"/>
        <bgColor rgb="FFFFFFFF"/>
      </patternFill>
    </fill>
    <fill>
      <patternFill patternType="solid">
        <fgColor rgb="FFC4D9F0"/>
        <bgColor rgb="FFE8E8E8"/>
      </patternFill>
    </fill>
    <fill>
      <patternFill patternType="solid">
        <fgColor rgb="FFF5D9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4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D98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5" min="5" style="0" width="7"/>
    <col collapsed="false" customWidth="true" hidden="false" outlineLevel="0" max="6" min="6" style="0" width="55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3.5" hidden="false" customHeight="tru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n">
        <v>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43.5" hidden="false" customHeight="true" outlineLevel="0" collapsed="false">
      <c r="A3" s="2" t="s">
        <v>19</v>
      </c>
      <c r="B3" s="3" t="s">
        <v>20</v>
      </c>
      <c r="C3" s="2" t="s">
        <v>12</v>
      </c>
      <c r="D3" s="2" t="s">
        <v>21</v>
      </c>
      <c r="E3" s="2" t="n">
        <v>1</v>
      </c>
      <c r="F3" s="2" t="s">
        <v>22</v>
      </c>
      <c r="G3" s="2" t="s">
        <v>15</v>
      </c>
      <c r="H3" s="2" t="s">
        <v>23</v>
      </c>
      <c r="I3" s="2" t="s">
        <v>24</v>
      </c>
      <c r="J3" s="2" t="s">
        <v>25</v>
      </c>
    </row>
    <row r="4" customFormat="false" ht="43.5" hidden="false" customHeight="true" outlineLevel="0" collapsed="false">
      <c r="A4" s="2" t="s">
        <v>26</v>
      </c>
      <c r="B4" s="3" t="s">
        <v>27</v>
      </c>
      <c r="C4" s="2" t="s">
        <v>12</v>
      </c>
      <c r="D4" s="2" t="s">
        <v>21</v>
      </c>
      <c r="E4" s="2" t="n">
        <v>0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43.5" hidden="false" customHeight="true" outlineLevel="0" collapsed="false">
      <c r="A5" s="2" t="s">
        <v>33</v>
      </c>
      <c r="B5" s="3" t="s">
        <v>34</v>
      </c>
      <c r="C5" s="2" t="s">
        <v>12</v>
      </c>
      <c r="D5" s="2" t="s">
        <v>13</v>
      </c>
      <c r="E5" s="2" t="n">
        <v>1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</row>
    <row r="6" customFormat="false" ht="43.5" hidden="false" customHeight="true" outlineLevel="0" collapsed="false">
      <c r="A6" s="2" t="s">
        <v>40</v>
      </c>
      <c r="B6" s="3" t="s">
        <v>41</v>
      </c>
      <c r="C6" s="2" t="s">
        <v>12</v>
      </c>
      <c r="D6" s="2" t="s">
        <v>13</v>
      </c>
      <c r="E6" s="2" t="n">
        <v>1</v>
      </c>
      <c r="F6" s="2" t="s">
        <v>42</v>
      </c>
      <c r="G6" s="2" t="s">
        <v>36</v>
      </c>
      <c r="H6" s="2" t="s">
        <v>43</v>
      </c>
      <c r="I6" s="2" t="s">
        <v>44</v>
      </c>
      <c r="J6" s="2" t="s">
        <v>45</v>
      </c>
    </row>
    <row r="7" customFormat="false" ht="43.5" hidden="false" customHeight="true" outlineLevel="0" collapsed="false">
      <c r="A7" s="2" t="s">
        <v>46</v>
      </c>
      <c r="B7" s="3" t="s">
        <v>47</v>
      </c>
      <c r="C7" s="2" t="s">
        <v>12</v>
      </c>
      <c r="D7" s="2" t="s">
        <v>13</v>
      </c>
      <c r="E7" s="2" t="n">
        <v>1</v>
      </c>
      <c r="F7" s="2" t="s">
        <v>48</v>
      </c>
      <c r="G7" s="2" t="s">
        <v>29</v>
      </c>
      <c r="H7" s="2" t="s">
        <v>16</v>
      </c>
      <c r="I7" s="2" t="s">
        <v>49</v>
      </c>
      <c r="J7" s="2" t="s">
        <v>50</v>
      </c>
    </row>
    <row r="8" customFormat="false" ht="43.5" hidden="false" customHeight="true" outlineLevel="0" collapsed="false">
      <c r="A8" s="2" t="s">
        <v>51</v>
      </c>
      <c r="B8" s="3" t="s">
        <v>52</v>
      </c>
      <c r="C8" s="2" t="s">
        <v>12</v>
      </c>
      <c r="D8" s="2" t="s">
        <v>21</v>
      </c>
      <c r="E8" s="2" t="n">
        <v>1</v>
      </c>
      <c r="F8" s="2" t="s">
        <v>53</v>
      </c>
      <c r="G8" s="2" t="s">
        <v>54</v>
      </c>
      <c r="H8" s="2" t="s">
        <v>23</v>
      </c>
      <c r="I8" s="2" t="s">
        <v>55</v>
      </c>
      <c r="J8" s="2" t="s">
        <v>56</v>
      </c>
    </row>
    <row r="9" customFormat="false" ht="43.5" hidden="false" customHeight="true" outlineLevel="0" collapsed="false">
      <c r="A9" s="2" t="s">
        <v>57</v>
      </c>
      <c r="B9" s="3" t="s">
        <v>58</v>
      </c>
      <c r="C9" s="2" t="s">
        <v>12</v>
      </c>
      <c r="D9" s="2" t="s">
        <v>13</v>
      </c>
      <c r="E9" s="2" t="n">
        <v>2</v>
      </c>
      <c r="F9" s="2" t="s">
        <v>59</v>
      </c>
      <c r="G9" s="2" t="s">
        <v>36</v>
      </c>
      <c r="H9" s="2" t="s">
        <v>23</v>
      </c>
      <c r="I9" s="2" t="s">
        <v>60</v>
      </c>
      <c r="J9" s="2" t="s">
        <v>61</v>
      </c>
    </row>
    <row r="10" customFormat="false" ht="43.5" hidden="false" customHeight="true" outlineLevel="0" collapsed="false">
      <c r="A10" s="2" t="s">
        <v>62</v>
      </c>
      <c r="B10" s="3" t="s">
        <v>63</v>
      </c>
      <c r="C10" s="2" t="s">
        <v>12</v>
      </c>
      <c r="D10" s="2" t="s">
        <v>21</v>
      </c>
      <c r="E10" s="2" t="n">
        <v>0</v>
      </c>
      <c r="F10" s="2" t="s">
        <v>64</v>
      </c>
      <c r="G10" s="2" t="s">
        <v>29</v>
      </c>
      <c r="H10" s="2" t="s">
        <v>30</v>
      </c>
      <c r="I10" s="2" t="s">
        <v>65</v>
      </c>
      <c r="J10" s="2" t="s">
        <v>66</v>
      </c>
    </row>
    <row r="11" customFormat="false" ht="43.5" hidden="false" customHeight="true" outlineLevel="0" collapsed="false">
      <c r="A11" s="2" t="s">
        <v>67</v>
      </c>
      <c r="B11" s="3" t="s">
        <v>68</v>
      </c>
      <c r="C11" s="2" t="s">
        <v>12</v>
      </c>
      <c r="D11" s="2" t="s">
        <v>69</v>
      </c>
      <c r="E11" s="2" t="n">
        <v>1</v>
      </c>
      <c r="F11" s="2" t="s">
        <v>70</v>
      </c>
      <c r="G11" s="2" t="s">
        <v>54</v>
      </c>
      <c r="H11" s="2" t="s">
        <v>71</v>
      </c>
      <c r="I11" s="2" t="s">
        <v>72</v>
      </c>
      <c r="J11" s="2" t="s">
        <v>73</v>
      </c>
    </row>
    <row r="12" customFormat="false" ht="43.5" hidden="false" customHeight="true" outlineLevel="0" collapsed="false">
      <c r="A12" s="2" t="s">
        <v>74</v>
      </c>
      <c r="B12" s="3" t="s">
        <v>75</v>
      </c>
      <c r="C12" s="2" t="s">
        <v>12</v>
      </c>
      <c r="D12" s="2" t="s">
        <v>21</v>
      </c>
      <c r="E12" s="2" t="n">
        <v>1</v>
      </c>
      <c r="F12" s="2" t="s">
        <v>76</v>
      </c>
      <c r="G12" s="2" t="s">
        <v>54</v>
      </c>
      <c r="H12" s="2" t="s">
        <v>30</v>
      </c>
      <c r="I12" s="2" t="s">
        <v>77</v>
      </c>
      <c r="J12" s="2" t="s">
        <v>78</v>
      </c>
    </row>
    <row r="13" customFormat="false" ht="43.5" hidden="false" customHeight="true" outlineLevel="0" collapsed="false">
      <c r="A13" s="2" t="s">
        <v>79</v>
      </c>
      <c r="B13" s="3" t="s">
        <v>80</v>
      </c>
      <c r="C13" s="2" t="s">
        <v>12</v>
      </c>
      <c r="D13" s="2" t="s">
        <v>21</v>
      </c>
      <c r="E13" s="2" t="n">
        <v>1</v>
      </c>
      <c r="F13" s="2" t="s">
        <v>81</v>
      </c>
      <c r="G13" s="2" t="s">
        <v>36</v>
      </c>
      <c r="H13" s="2" t="s">
        <v>30</v>
      </c>
      <c r="I13" s="2" t="s">
        <v>82</v>
      </c>
      <c r="J13" s="2" t="s">
        <v>83</v>
      </c>
    </row>
    <row r="14" customFormat="false" ht="43.5" hidden="false" customHeight="true" outlineLevel="0" collapsed="false">
      <c r="A14" s="2" t="s">
        <v>84</v>
      </c>
      <c r="B14" s="3" t="s">
        <v>85</v>
      </c>
      <c r="C14" s="2" t="s">
        <v>12</v>
      </c>
      <c r="D14" s="2" t="s">
        <v>21</v>
      </c>
      <c r="E14" s="2" t="n">
        <v>1</v>
      </c>
      <c r="F14" s="2" t="s">
        <v>86</v>
      </c>
      <c r="G14" s="2" t="s">
        <v>29</v>
      </c>
      <c r="H14" s="2" t="s">
        <v>30</v>
      </c>
      <c r="I14" s="2" t="s">
        <v>87</v>
      </c>
      <c r="J14" s="2" t="s">
        <v>88</v>
      </c>
    </row>
    <row r="15" customFormat="false" ht="43.5" hidden="false" customHeight="true" outlineLevel="0" collapsed="false">
      <c r="A15" s="2" t="s">
        <v>89</v>
      </c>
      <c r="B15" s="3" t="s">
        <v>90</v>
      </c>
      <c r="C15" s="2" t="s">
        <v>12</v>
      </c>
      <c r="D15" s="2" t="s">
        <v>91</v>
      </c>
      <c r="E15" s="2" t="n">
        <v>1</v>
      </c>
      <c r="F15" s="2" t="s">
        <v>92</v>
      </c>
      <c r="G15" s="2" t="s">
        <v>91</v>
      </c>
      <c r="H15" s="2" t="s">
        <v>93</v>
      </c>
      <c r="I15" s="2" t="s">
        <v>94</v>
      </c>
      <c r="J15" s="2" t="s">
        <v>95</v>
      </c>
    </row>
    <row r="16" customFormat="false" ht="43.5" hidden="false" customHeight="true" outlineLevel="0" collapsed="false">
      <c r="A16" s="2" t="s">
        <v>96</v>
      </c>
      <c r="B16" s="3" t="s">
        <v>97</v>
      </c>
      <c r="C16" s="2" t="s">
        <v>12</v>
      </c>
      <c r="D16" s="2" t="s">
        <v>91</v>
      </c>
      <c r="E16" s="2" t="n">
        <v>1</v>
      </c>
      <c r="F16" s="2" t="s">
        <v>98</v>
      </c>
      <c r="G16" s="2" t="s">
        <v>91</v>
      </c>
      <c r="H16" s="2" t="s">
        <v>93</v>
      </c>
      <c r="I16" s="2" t="s">
        <v>99</v>
      </c>
      <c r="J16" s="2" t="s">
        <v>100</v>
      </c>
    </row>
    <row r="17" customFormat="false" ht="43.5" hidden="false" customHeight="true" outlineLevel="0" collapsed="false">
      <c r="A17" s="2" t="s">
        <v>101</v>
      </c>
      <c r="B17" s="3" t="s">
        <v>102</v>
      </c>
      <c r="C17" s="2" t="s">
        <v>12</v>
      </c>
      <c r="D17" s="2" t="s">
        <v>91</v>
      </c>
      <c r="E17" s="2" t="n">
        <v>1</v>
      </c>
      <c r="F17" s="2" t="s">
        <v>103</v>
      </c>
      <c r="G17" s="2" t="s">
        <v>91</v>
      </c>
      <c r="H17" s="2" t="s">
        <v>93</v>
      </c>
      <c r="I17" s="2" t="s">
        <v>104</v>
      </c>
      <c r="J17" s="2" t="s">
        <v>105</v>
      </c>
    </row>
    <row r="18" customFormat="false" ht="43.5" hidden="false" customHeight="true" outlineLevel="0" collapsed="false">
      <c r="A18" s="4" t="s">
        <v>106</v>
      </c>
      <c r="B18" s="5" t="s">
        <v>107</v>
      </c>
      <c r="C18" s="4" t="s">
        <v>108</v>
      </c>
      <c r="D18" s="4" t="s">
        <v>13</v>
      </c>
      <c r="E18" s="4" t="n">
        <v>2</v>
      </c>
      <c r="F18" s="4" t="s">
        <v>61</v>
      </c>
      <c r="G18" s="4" t="s">
        <v>36</v>
      </c>
      <c r="H18" s="4" t="s">
        <v>43</v>
      </c>
      <c r="I18" s="4" t="s">
        <v>109</v>
      </c>
      <c r="J18" s="4" t="s">
        <v>110</v>
      </c>
    </row>
    <row r="19" customFormat="false" ht="43.5" hidden="false" customHeight="true" outlineLevel="0" collapsed="false">
      <c r="A19" s="4" t="s">
        <v>111</v>
      </c>
      <c r="B19" s="5" t="s">
        <v>112</v>
      </c>
      <c r="C19" s="4" t="s">
        <v>108</v>
      </c>
      <c r="D19" s="4" t="s">
        <v>13</v>
      </c>
      <c r="E19" s="4" t="n">
        <v>2</v>
      </c>
      <c r="F19" s="4" t="s">
        <v>113</v>
      </c>
      <c r="G19" s="4" t="s">
        <v>29</v>
      </c>
      <c r="H19" s="4" t="s">
        <v>43</v>
      </c>
      <c r="I19" s="4" t="s">
        <v>114</v>
      </c>
      <c r="J19" s="4" t="s">
        <v>115</v>
      </c>
    </row>
    <row r="20" customFormat="false" ht="43.5" hidden="false" customHeight="true" outlineLevel="0" collapsed="false">
      <c r="A20" s="4" t="s">
        <v>116</v>
      </c>
      <c r="B20" s="5" t="s">
        <v>117</v>
      </c>
      <c r="C20" s="4" t="s">
        <v>108</v>
      </c>
      <c r="D20" s="4" t="s">
        <v>21</v>
      </c>
      <c r="E20" s="4" t="n">
        <v>2</v>
      </c>
      <c r="F20" s="4" t="s">
        <v>118</v>
      </c>
      <c r="G20" s="4" t="s">
        <v>54</v>
      </c>
      <c r="H20" s="4" t="s">
        <v>30</v>
      </c>
      <c r="I20" s="4" t="s">
        <v>119</v>
      </c>
      <c r="J20" s="4" t="s">
        <v>120</v>
      </c>
    </row>
    <row r="21" customFormat="false" ht="43.5" hidden="false" customHeight="true" outlineLevel="0" collapsed="false">
      <c r="A21" s="4" t="s">
        <v>121</v>
      </c>
      <c r="B21" s="5" t="s">
        <v>122</v>
      </c>
      <c r="C21" s="4" t="s">
        <v>108</v>
      </c>
      <c r="D21" s="4" t="s">
        <v>21</v>
      </c>
      <c r="E21" s="4" t="n">
        <v>2</v>
      </c>
      <c r="F21" s="4" t="s">
        <v>123</v>
      </c>
      <c r="G21" s="4" t="s">
        <v>54</v>
      </c>
      <c r="H21" s="4" t="s">
        <v>23</v>
      </c>
      <c r="I21" s="4" t="s">
        <v>124</v>
      </c>
      <c r="J21" s="4" t="s">
        <v>125</v>
      </c>
    </row>
    <row r="22" customFormat="false" ht="43.5" hidden="false" customHeight="true" outlineLevel="0" collapsed="false">
      <c r="A22" s="4" t="s">
        <v>126</v>
      </c>
      <c r="B22" s="5" t="s">
        <v>127</v>
      </c>
      <c r="C22" s="4" t="s">
        <v>108</v>
      </c>
      <c r="D22" s="4" t="s">
        <v>13</v>
      </c>
      <c r="E22" s="4" t="n">
        <v>1</v>
      </c>
      <c r="F22" s="4" t="s">
        <v>128</v>
      </c>
      <c r="G22" s="4" t="s">
        <v>36</v>
      </c>
      <c r="H22" s="4" t="s">
        <v>129</v>
      </c>
      <c r="I22" s="4" t="s">
        <v>130</v>
      </c>
      <c r="J22" s="4" t="s">
        <v>131</v>
      </c>
    </row>
    <row r="23" customFormat="false" ht="43.5" hidden="false" customHeight="true" outlineLevel="0" collapsed="false">
      <c r="A23" s="4" t="s">
        <v>132</v>
      </c>
      <c r="B23" s="5" t="s">
        <v>133</v>
      </c>
      <c r="C23" s="4" t="s">
        <v>108</v>
      </c>
      <c r="D23" s="4" t="s">
        <v>21</v>
      </c>
      <c r="E23" s="4" t="n">
        <v>1</v>
      </c>
      <c r="F23" s="4" t="s">
        <v>134</v>
      </c>
      <c r="G23" s="4" t="s">
        <v>36</v>
      </c>
      <c r="H23" s="4" t="s">
        <v>135</v>
      </c>
      <c r="I23" s="4" t="s">
        <v>136</v>
      </c>
      <c r="J23" s="4" t="s">
        <v>137</v>
      </c>
    </row>
    <row r="24" customFormat="false" ht="43.5" hidden="false" customHeight="true" outlineLevel="0" collapsed="false">
      <c r="A24" s="4" t="s">
        <v>138</v>
      </c>
      <c r="B24" s="5" t="s">
        <v>139</v>
      </c>
      <c r="C24" s="4" t="s">
        <v>108</v>
      </c>
      <c r="D24" s="4" t="s">
        <v>13</v>
      </c>
      <c r="E24" s="4" t="n">
        <v>2</v>
      </c>
      <c r="F24" s="4" t="s">
        <v>140</v>
      </c>
      <c r="G24" s="4" t="s">
        <v>36</v>
      </c>
      <c r="H24" s="4" t="s">
        <v>30</v>
      </c>
      <c r="I24" s="4" t="s">
        <v>141</v>
      </c>
      <c r="J24" s="4" t="s">
        <v>142</v>
      </c>
    </row>
    <row r="25" customFormat="false" ht="43.5" hidden="false" customHeight="true" outlineLevel="0" collapsed="false">
      <c r="A25" s="4" t="s">
        <v>143</v>
      </c>
      <c r="B25" s="5" t="s">
        <v>144</v>
      </c>
      <c r="C25" s="4" t="s">
        <v>108</v>
      </c>
      <c r="D25" s="4" t="s">
        <v>13</v>
      </c>
      <c r="E25" s="4" t="n">
        <v>2</v>
      </c>
      <c r="F25" s="4" t="s">
        <v>145</v>
      </c>
      <c r="G25" s="4" t="s">
        <v>29</v>
      </c>
      <c r="H25" s="4" t="s">
        <v>43</v>
      </c>
      <c r="I25" s="4" t="s">
        <v>146</v>
      </c>
      <c r="J25" s="4" t="s">
        <v>147</v>
      </c>
    </row>
    <row r="26" customFormat="false" ht="43.5" hidden="false" customHeight="true" outlineLevel="0" collapsed="false">
      <c r="A26" s="4" t="s">
        <v>148</v>
      </c>
      <c r="B26" s="5" t="s">
        <v>149</v>
      </c>
      <c r="C26" s="4" t="s">
        <v>108</v>
      </c>
      <c r="D26" s="4" t="s">
        <v>21</v>
      </c>
      <c r="E26" s="4" t="n">
        <v>1</v>
      </c>
      <c r="F26" s="4" t="s">
        <v>150</v>
      </c>
      <c r="G26" s="4" t="s">
        <v>54</v>
      </c>
      <c r="H26" s="4" t="s">
        <v>30</v>
      </c>
      <c r="I26" s="4" t="s">
        <v>151</v>
      </c>
      <c r="J26" s="4" t="s">
        <v>152</v>
      </c>
    </row>
    <row r="27" customFormat="false" ht="43.5" hidden="false" customHeight="true" outlineLevel="0" collapsed="false">
      <c r="A27" s="4" t="s">
        <v>153</v>
      </c>
      <c r="B27" s="5" t="s">
        <v>154</v>
      </c>
      <c r="C27" s="4" t="s">
        <v>108</v>
      </c>
      <c r="D27" s="4" t="s">
        <v>69</v>
      </c>
      <c r="E27" s="4" t="n">
        <v>2</v>
      </c>
      <c r="F27" s="4" t="s">
        <v>155</v>
      </c>
      <c r="G27" s="4" t="s">
        <v>29</v>
      </c>
      <c r="H27" s="4" t="s">
        <v>156</v>
      </c>
      <c r="I27" s="4" t="s">
        <v>157</v>
      </c>
      <c r="J27" s="4" t="s">
        <v>158</v>
      </c>
    </row>
    <row r="28" customFormat="false" ht="43.5" hidden="false" customHeight="true" outlineLevel="0" collapsed="false">
      <c r="A28" s="4" t="s">
        <v>159</v>
      </c>
      <c r="B28" s="5" t="s">
        <v>160</v>
      </c>
      <c r="C28" s="4" t="s">
        <v>108</v>
      </c>
      <c r="D28" s="4" t="s">
        <v>91</v>
      </c>
      <c r="E28" s="4" t="n">
        <v>1</v>
      </c>
      <c r="F28" s="4" t="s">
        <v>161</v>
      </c>
      <c r="G28" s="4" t="s">
        <v>91</v>
      </c>
      <c r="H28" s="4" t="s">
        <v>93</v>
      </c>
      <c r="I28" s="4" t="s">
        <v>162</v>
      </c>
      <c r="J28" s="4" t="s">
        <v>163</v>
      </c>
    </row>
    <row r="29" customFormat="false" ht="43.5" hidden="false" customHeight="true" outlineLevel="0" collapsed="false">
      <c r="A29" s="4" t="s">
        <v>164</v>
      </c>
      <c r="B29" s="5" t="s">
        <v>165</v>
      </c>
      <c r="C29" s="4" t="s">
        <v>108</v>
      </c>
      <c r="D29" s="4" t="s">
        <v>91</v>
      </c>
      <c r="E29" s="4" t="n">
        <v>1</v>
      </c>
      <c r="F29" s="4" t="s">
        <v>166</v>
      </c>
      <c r="G29" s="4" t="s">
        <v>91</v>
      </c>
      <c r="H29" s="4" t="s">
        <v>167</v>
      </c>
      <c r="I29" s="4" t="s">
        <v>168</v>
      </c>
      <c r="J29" s="4" t="s">
        <v>169</v>
      </c>
    </row>
    <row r="30" customFormat="false" ht="43.5" hidden="false" customHeight="true" outlineLevel="0" collapsed="false">
      <c r="A30" s="4" t="s">
        <v>170</v>
      </c>
      <c r="B30" s="5" t="s">
        <v>171</v>
      </c>
      <c r="C30" s="4" t="s">
        <v>108</v>
      </c>
      <c r="D30" s="4" t="s">
        <v>91</v>
      </c>
      <c r="E30" s="4" t="n">
        <v>1</v>
      </c>
      <c r="F30" s="4" t="s">
        <v>172</v>
      </c>
      <c r="G30" s="4" t="s">
        <v>91</v>
      </c>
      <c r="H30" s="4" t="s">
        <v>173</v>
      </c>
      <c r="I30" s="4" t="s">
        <v>174</v>
      </c>
      <c r="J30" s="4" t="s">
        <v>175</v>
      </c>
    </row>
    <row r="31" customFormat="false" ht="43.5" hidden="false" customHeight="true" outlineLevel="0" collapsed="false">
      <c r="A31" s="4" t="s">
        <v>176</v>
      </c>
      <c r="B31" s="5" t="s">
        <v>177</v>
      </c>
      <c r="C31" s="4" t="s">
        <v>108</v>
      </c>
      <c r="D31" s="4" t="s">
        <v>91</v>
      </c>
      <c r="E31" s="4" t="n">
        <v>1</v>
      </c>
      <c r="F31" s="4" t="s">
        <v>178</v>
      </c>
      <c r="G31" s="4" t="s">
        <v>91</v>
      </c>
      <c r="H31" s="4" t="s">
        <v>173</v>
      </c>
      <c r="I31" s="4" t="s">
        <v>179</v>
      </c>
      <c r="J31" s="4" t="s">
        <v>180</v>
      </c>
    </row>
    <row r="32" customFormat="false" ht="43.5" hidden="false" customHeight="true" outlineLevel="0" collapsed="false">
      <c r="A32" s="6" t="s">
        <v>181</v>
      </c>
      <c r="B32" s="7" t="s">
        <v>182</v>
      </c>
      <c r="C32" s="6" t="s">
        <v>183</v>
      </c>
      <c r="D32" s="6" t="s">
        <v>69</v>
      </c>
      <c r="E32" s="6" t="n">
        <v>3</v>
      </c>
      <c r="F32" s="6" t="s">
        <v>184</v>
      </c>
      <c r="G32" s="6" t="s">
        <v>36</v>
      </c>
      <c r="H32" s="6" t="s">
        <v>185</v>
      </c>
      <c r="I32" s="6" t="s">
        <v>186</v>
      </c>
      <c r="J32" s="6" t="s">
        <v>187</v>
      </c>
    </row>
    <row r="33" customFormat="false" ht="43.5" hidden="false" customHeight="true" outlineLevel="0" collapsed="false">
      <c r="A33" s="6" t="s">
        <v>188</v>
      </c>
      <c r="B33" s="7" t="s">
        <v>189</v>
      </c>
      <c r="C33" s="6" t="s">
        <v>183</v>
      </c>
      <c r="D33" s="6" t="s">
        <v>69</v>
      </c>
      <c r="E33" s="6" t="n">
        <v>2</v>
      </c>
      <c r="F33" s="6" t="s">
        <v>190</v>
      </c>
      <c r="G33" s="6" t="s">
        <v>36</v>
      </c>
      <c r="H33" s="6" t="s">
        <v>156</v>
      </c>
      <c r="I33" s="6" t="s">
        <v>191</v>
      </c>
      <c r="J33" s="6" t="s">
        <v>192</v>
      </c>
    </row>
    <row r="34" customFormat="false" ht="43.5" hidden="false" customHeight="true" outlineLevel="0" collapsed="false">
      <c r="A34" s="6" t="s">
        <v>193</v>
      </c>
      <c r="B34" s="7" t="s">
        <v>194</v>
      </c>
      <c r="C34" s="6" t="s">
        <v>183</v>
      </c>
      <c r="D34" s="6" t="s">
        <v>13</v>
      </c>
      <c r="E34" s="6" t="n">
        <v>3</v>
      </c>
      <c r="F34" s="6" t="s">
        <v>195</v>
      </c>
      <c r="G34" s="6" t="s">
        <v>36</v>
      </c>
      <c r="H34" s="6" t="s">
        <v>196</v>
      </c>
      <c r="I34" s="6" t="s">
        <v>197</v>
      </c>
      <c r="J34" s="6" t="s">
        <v>198</v>
      </c>
    </row>
    <row r="35" customFormat="false" ht="43.5" hidden="false" customHeight="true" outlineLevel="0" collapsed="false">
      <c r="A35" s="6" t="s">
        <v>199</v>
      </c>
      <c r="B35" s="7" t="s">
        <v>200</v>
      </c>
      <c r="C35" s="6" t="s">
        <v>183</v>
      </c>
      <c r="D35" s="6" t="s">
        <v>21</v>
      </c>
      <c r="E35" s="6" t="n">
        <v>3</v>
      </c>
      <c r="F35" s="6" t="s">
        <v>201</v>
      </c>
      <c r="G35" s="6" t="s">
        <v>54</v>
      </c>
      <c r="H35" s="6" t="s">
        <v>202</v>
      </c>
      <c r="I35" s="6" t="s">
        <v>203</v>
      </c>
      <c r="J35" s="6" t="s">
        <v>204</v>
      </c>
    </row>
    <row r="36" customFormat="false" ht="43.5" hidden="false" customHeight="true" outlineLevel="0" collapsed="false">
      <c r="A36" s="6" t="s">
        <v>205</v>
      </c>
      <c r="B36" s="7" t="s">
        <v>206</v>
      </c>
      <c r="C36" s="6" t="s">
        <v>183</v>
      </c>
      <c r="D36" s="6" t="s">
        <v>69</v>
      </c>
      <c r="E36" s="6" t="n">
        <v>3</v>
      </c>
      <c r="F36" s="6" t="s">
        <v>207</v>
      </c>
      <c r="G36" s="6" t="s">
        <v>36</v>
      </c>
      <c r="H36" s="6" t="s">
        <v>156</v>
      </c>
      <c r="I36" s="6" t="s">
        <v>208</v>
      </c>
      <c r="J36" s="6" t="s">
        <v>209</v>
      </c>
    </row>
    <row r="37" customFormat="false" ht="43.5" hidden="false" customHeight="true" outlineLevel="0" collapsed="false">
      <c r="A37" s="6" t="s">
        <v>210</v>
      </c>
      <c r="B37" s="7" t="s">
        <v>211</v>
      </c>
      <c r="C37" s="6" t="s">
        <v>183</v>
      </c>
      <c r="D37" s="6" t="s">
        <v>69</v>
      </c>
      <c r="E37" s="6" t="n">
        <v>2</v>
      </c>
      <c r="F37" s="6" t="s">
        <v>212</v>
      </c>
      <c r="G37" s="6" t="s">
        <v>29</v>
      </c>
      <c r="H37" s="6" t="s">
        <v>185</v>
      </c>
      <c r="I37" s="6" t="s">
        <v>213</v>
      </c>
      <c r="J37" s="6" t="s">
        <v>214</v>
      </c>
    </row>
    <row r="38" customFormat="false" ht="43.5" hidden="false" customHeight="true" outlineLevel="0" collapsed="false">
      <c r="A38" s="6" t="s">
        <v>215</v>
      </c>
      <c r="B38" s="7" t="s">
        <v>216</v>
      </c>
      <c r="C38" s="6" t="s">
        <v>183</v>
      </c>
      <c r="D38" s="6" t="s">
        <v>69</v>
      </c>
      <c r="E38" s="6" t="n">
        <v>3</v>
      </c>
      <c r="F38" s="6" t="s">
        <v>217</v>
      </c>
      <c r="G38" s="6" t="s">
        <v>54</v>
      </c>
      <c r="H38" s="6" t="s">
        <v>71</v>
      </c>
      <c r="I38" s="6" t="s">
        <v>218</v>
      </c>
      <c r="J38" s="6" t="s">
        <v>219</v>
      </c>
    </row>
    <row r="39" customFormat="false" ht="43.5" hidden="false" customHeight="true" outlineLevel="0" collapsed="false">
      <c r="A39" s="6" t="s">
        <v>220</v>
      </c>
      <c r="B39" s="7" t="s">
        <v>221</v>
      </c>
      <c r="C39" s="6" t="s">
        <v>183</v>
      </c>
      <c r="D39" s="6" t="s">
        <v>91</v>
      </c>
      <c r="E39" s="6" t="n">
        <v>1</v>
      </c>
      <c r="F39" s="6" t="s">
        <v>222</v>
      </c>
      <c r="G39" s="6" t="s">
        <v>91</v>
      </c>
      <c r="H39" s="6" t="s">
        <v>223</v>
      </c>
      <c r="I39" s="6" t="s">
        <v>224</v>
      </c>
      <c r="J39" s="6" t="s">
        <v>225</v>
      </c>
    </row>
    <row r="40" customFormat="false" ht="43.5" hidden="false" customHeight="true" outlineLevel="0" collapsed="false">
      <c r="A40" s="6" t="s">
        <v>226</v>
      </c>
      <c r="B40" s="7" t="s">
        <v>227</v>
      </c>
      <c r="C40" s="6" t="s">
        <v>183</v>
      </c>
      <c r="D40" s="6" t="s">
        <v>91</v>
      </c>
      <c r="E40" s="6" t="n">
        <v>2</v>
      </c>
      <c r="F40" s="6" t="s">
        <v>228</v>
      </c>
      <c r="G40" s="6" t="s">
        <v>91</v>
      </c>
      <c r="H40" s="6" t="s">
        <v>223</v>
      </c>
      <c r="I40" s="6" t="s">
        <v>229</v>
      </c>
      <c r="J40" s="6" t="s">
        <v>230</v>
      </c>
    </row>
    <row r="41" customFormat="false" ht="43.5" hidden="false" customHeight="true" outlineLevel="0" collapsed="false">
      <c r="A41" s="6" t="s">
        <v>231</v>
      </c>
      <c r="B41" s="7" t="s">
        <v>232</v>
      </c>
      <c r="C41" s="6" t="s">
        <v>183</v>
      </c>
      <c r="D41" s="6" t="s">
        <v>21</v>
      </c>
      <c r="E41" s="6" t="n">
        <v>3</v>
      </c>
      <c r="F41" s="6" t="s">
        <v>233</v>
      </c>
      <c r="G41" s="6" t="s">
        <v>36</v>
      </c>
      <c r="H41" s="6" t="s">
        <v>234</v>
      </c>
      <c r="I41" s="6" t="s">
        <v>235</v>
      </c>
      <c r="J41" s="6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7.35" hidden="false" customHeight="false" outlineLevel="0" collapsed="false">
      <c r="A1" s="8" t="s">
        <v>237</v>
      </c>
    </row>
    <row r="3" customFormat="false" ht="15" hidden="false" customHeight="false" outlineLevel="0" collapsed="false">
      <c r="A3" s="9" t="s">
        <v>2</v>
      </c>
      <c r="B3" s="9" t="s">
        <v>238</v>
      </c>
      <c r="C3" s="9" t="s">
        <v>239</v>
      </c>
      <c r="D3" s="9" t="s">
        <v>3</v>
      </c>
      <c r="E3" s="9" t="s">
        <v>238</v>
      </c>
    </row>
    <row r="4" customFormat="false" ht="15" hidden="false" customHeight="false" outlineLevel="0" collapsed="false">
      <c r="A4" s="10" t="s">
        <v>12</v>
      </c>
      <c r="B4" s="10" t="n">
        <f aca="false">COUNTIF('Cogsmiths Cards'!C:C,"Common")</f>
        <v>16</v>
      </c>
      <c r="C4" s="10" t="s">
        <v>240</v>
      </c>
      <c r="D4" s="11" t="s">
        <v>13</v>
      </c>
      <c r="E4" s="11" t="n">
        <f aca="false">COUNTIF('Cogsmiths Cards'!D:D,"Attack")</f>
        <v>11</v>
      </c>
    </row>
    <row r="5" customFormat="false" ht="15" hidden="false" customHeight="false" outlineLevel="0" collapsed="false">
      <c r="A5" s="12" t="s">
        <v>108</v>
      </c>
      <c r="B5" s="12" t="n">
        <f aca="false">COUNTIF('Cogsmiths Cards'!C:C,"Uncommon")</f>
        <v>14</v>
      </c>
      <c r="C5" s="12" t="s">
        <v>241</v>
      </c>
      <c r="D5" s="11" t="s">
        <v>21</v>
      </c>
      <c r="E5" s="11" t="n">
        <f aca="false">COUNTIF('Cogsmiths Cards'!D:D,"Skill")</f>
        <v>13</v>
      </c>
    </row>
    <row r="6" customFormat="false" ht="15" hidden="false" customHeight="false" outlineLevel="0" collapsed="false">
      <c r="A6" s="13" t="s">
        <v>183</v>
      </c>
      <c r="B6" s="13" t="n">
        <f aca="false">COUNTIF('Cogsmiths Cards'!C:C,"Rare")</f>
        <v>10</v>
      </c>
      <c r="C6" s="13" t="s">
        <v>242</v>
      </c>
      <c r="D6" s="11" t="s">
        <v>69</v>
      </c>
      <c r="E6" s="11" t="n">
        <f aca="false">COUNTIF('Cogsmiths Cards'!D:D,"Power")</f>
        <v>7</v>
      </c>
    </row>
    <row r="7" customFormat="false" ht="15" hidden="false" customHeight="false" outlineLevel="0" collapsed="false">
      <c r="A7" s="14" t="s">
        <v>243</v>
      </c>
      <c r="B7" s="14" t="n">
        <f aca="false">SUM(B4:B6)</f>
        <v>40</v>
      </c>
      <c r="D7" s="11" t="s">
        <v>91</v>
      </c>
      <c r="E7" s="11" t="n">
        <f aca="false">COUNTIF('Cogsmiths Cards'!D:D,"Augment")</f>
        <v>9</v>
      </c>
    </row>
    <row r="10" customFormat="false" ht="15" hidden="false" customHeight="false" outlineLevel="0" collapsed="false">
      <c r="A10" s="9" t="s">
        <v>6</v>
      </c>
      <c r="B10" s="9" t="s">
        <v>244</v>
      </c>
      <c r="D10" s="9" t="s">
        <v>4</v>
      </c>
      <c r="E10" s="9" t="s">
        <v>238</v>
      </c>
    </row>
    <row r="11" customFormat="false" ht="15" hidden="false" customHeight="false" outlineLevel="0" collapsed="false">
      <c r="A11" s="11" t="s">
        <v>54</v>
      </c>
      <c r="B11" s="11" t="n">
        <f aca="false">COUNTIF('Cogsmiths Cards'!G:G,"Heavy Plating")</f>
        <v>8</v>
      </c>
      <c r="D11" s="11" t="n">
        <v>0</v>
      </c>
      <c r="E11" s="11" t="n">
        <f aca="false">COUNTIF('Cogsmiths Cards'!E:E,0)</f>
        <v>2</v>
      </c>
    </row>
    <row r="12" customFormat="false" ht="15" hidden="false" customHeight="false" outlineLevel="0" collapsed="false">
      <c r="A12" s="11" t="s">
        <v>29</v>
      </c>
      <c r="B12" s="11" t="n">
        <f aca="false">COUNTIF('Cogsmiths Cards'!G:G,"Overclock Combo")</f>
        <v>8</v>
      </c>
      <c r="D12" s="11" t="n">
        <v>1</v>
      </c>
      <c r="E12" s="11" t="n">
        <f aca="false">COUNTIF('Cogsmiths Cards'!E:E,1)</f>
        <v>21</v>
      </c>
    </row>
    <row r="13" customFormat="false" ht="15" hidden="false" customHeight="false" outlineLevel="0" collapsed="false">
      <c r="A13" s="11" t="s">
        <v>36</v>
      </c>
      <c r="B13" s="11" t="n">
        <f aca="false">COUNTIF('Cogsmiths Cards'!G:G,"Siege Engine")</f>
        <v>13</v>
      </c>
      <c r="D13" s="11" t="n">
        <v>2</v>
      </c>
      <c r="E13" s="11" t="n">
        <f aca="false">COUNTIF('Cogsmiths Cards'!E:E,2)</f>
        <v>11</v>
      </c>
    </row>
    <row r="14" customFormat="false" ht="15" hidden="false" customHeight="false" outlineLevel="0" collapsed="false">
      <c r="A14" s="11" t="s">
        <v>91</v>
      </c>
      <c r="B14" s="11" t="n">
        <f aca="false">COUNTIF('Cogsmiths Cards'!G:G,"Augment")</f>
        <v>9</v>
      </c>
      <c r="D14" s="11" t="n">
        <v>3</v>
      </c>
      <c r="E14" s="11" t="n">
        <f aca="false">COUNTIF('Cogsmiths Cards'!E:E,3)</f>
        <v>6</v>
      </c>
    </row>
    <row r="15" customFormat="false" ht="15" hidden="false" customHeight="false" outlineLevel="0" collapsed="false">
      <c r="A15" s="11" t="s">
        <v>15</v>
      </c>
      <c r="B15" s="11" t="n">
        <f aca="false">COUNTIF('Cogsmiths Cards'!G:G,"Basic")</f>
        <v>2</v>
      </c>
    </row>
    <row r="19" customFormat="false" ht="15" hidden="false" customHeight="false" outlineLevel="0" collapsed="false">
      <c r="A19" s="15" t="s">
        <v>245</v>
      </c>
      <c r="B19" s="15" t="n">
        <f aca="false">COUNTIF('Cogsmiths Cards'!D:D,"Augment")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8" t="s">
        <v>246</v>
      </c>
    </row>
    <row r="3" customFormat="false" ht="15" hidden="false" customHeight="false" outlineLevel="0" collapsed="false">
      <c r="A3" s="9" t="s">
        <v>238</v>
      </c>
      <c r="B3" s="9" t="s">
        <v>247</v>
      </c>
      <c r="C3" s="9" t="s">
        <v>2</v>
      </c>
      <c r="D3" s="9" t="s">
        <v>4</v>
      </c>
      <c r="E3" s="9" t="s">
        <v>5</v>
      </c>
    </row>
    <row r="4" customFormat="false" ht="15" hidden="false" customHeight="false" outlineLevel="0" collapsed="false">
      <c r="A4" s="16" t="n">
        <v>5</v>
      </c>
      <c r="B4" s="16" t="s">
        <v>11</v>
      </c>
      <c r="C4" s="16" t="s">
        <v>15</v>
      </c>
      <c r="D4" s="16" t="n">
        <v>1</v>
      </c>
      <c r="E4" s="16" t="s">
        <v>14</v>
      </c>
    </row>
    <row r="5" customFormat="false" ht="15" hidden="false" customHeight="false" outlineLevel="0" collapsed="false">
      <c r="A5" s="16" t="n">
        <v>4</v>
      </c>
      <c r="B5" s="16" t="s">
        <v>20</v>
      </c>
      <c r="C5" s="16" t="s">
        <v>15</v>
      </c>
      <c r="D5" s="16" t="n">
        <v>1</v>
      </c>
      <c r="E5" s="16" t="s">
        <v>22</v>
      </c>
    </row>
    <row r="6" customFormat="false" ht="15" hidden="false" customHeight="false" outlineLevel="0" collapsed="false">
      <c r="A6" s="16" t="n">
        <v>1</v>
      </c>
      <c r="B6" s="16" t="s">
        <v>248</v>
      </c>
      <c r="C6" s="16" t="s">
        <v>249</v>
      </c>
      <c r="D6" s="16" t="s">
        <v>250</v>
      </c>
      <c r="E6" s="16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8" t="s">
        <v>252</v>
      </c>
    </row>
    <row r="3" customFormat="false" ht="15" hidden="false" customHeight="false" outlineLevel="0" collapsed="false">
      <c r="A3" s="9" t="s">
        <v>253</v>
      </c>
      <c r="B3" s="9" t="s">
        <v>254</v>
      </c>
      <c r="C3" s="9" t="s">
        <v>255</v>
      </c>
    </row>
    <row r="4" customFormat="false" ht="54.75" hidden="false" customHeight="true" outlineLevel="0" collapsed="false">
      <c r="A4" s="17" t="s">
        <v>256</v>
      </c>
      <c r="B4" s="18" t="s">
        <v>257</v>
      </c>
      <c r="C4" s="18" t="s">
        <v>258</v>
      </c>
    </row>
    <row r="5" customFormat="false" ht="54.75" hidden="false" customHeight="true" outlineLevel="0" collapsed="false">
      <c r="A5" s="17" t="s">
        <v>259</v>
      </c>
      <c r="B5" s="18" t="s">
        <v>260</v>
      </c>
      <c r="C5" s="18" t="s">
        <v>261</v>
      </c>
    </row>
    <row r="6" customFormat="false" ht="54.75" hidden="false" customHeight="true" outlineLevel="0" collapsed="false">
      <c r="A6" s="17" t="s">
        <v>262</v>
      </c>
      <c r="B6" s="18" t="s">
        <v>263</v>
      </c>
      <c r="C6" s="18" t="s">
        <v>264</v>
      </c>
    </row>
    <row r="7" customFormat="false" ht="54.75" hidden="false" customHeight="true" outlineLevel="0" collapsed="false">
      <c r="A7" s="17" t="s">
        <v>265</v>
      </c>
      <c r="B7" s="18" t="s">
        <v>266</v>
      </c>
      <c r="C7" s="18" t="s">
        <v>267</v>
      </c>
    </row>
    <row r="8" customFormat="false" ht="54.75" hidden="false" customHeight="true" outlineLevel="0" collapsed="false">
      <c r="A8" s="17" t="s">
        <v>268</v>
      </c>
      <c r="B8" s="18" t="s">
        <v>269</v>
      </c>
      <c r="C8" s="18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3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8" t="s">
        <v>271</v>
      </c>
    </row>
    <row r="3" customFormat="false" ht="15" hidden="false" customHeight="false" outlineLevel="0" collapsed="false">
      <c r="A3" s="9" t="s">
        <v>91</v>
      </c>
      <c r="B3" s="9" t="s">
        <v>2</v>
      </c>
      <c r="C3" s="9" t="s">
        <v>272</v>
      </c>
      <c r="D3" s="9" t="s">
        <v>273</v>
      </c>
      <c r="E3" s="9" t="s">
        <v>274</v>
      </c>
    </row>
    <row r="4" customFormat="false" ht="15" hidden="false" customHeight="false" outlineLevel="0" collapsed="false">
      <c r="A4" s="19" t="s">
        <v>90</v>
      </c>
      <c r="B4" s="20" t="s">
        <v>12</v>
      </c>
      <c r="C4" s="20" t="s">
        <v>275</v>
      </c>
      <c r="D4" s="20" t="s">
        <v>276</v>
      </c>
      <c r="E4" s="20" t="s">
        <v>277</v>
      </c>
    </row>
    <row r="5" customFormat="false" ht="15" hidden="false" customHeight="false" outlineLevel="0" collapsed="false">
      <c r="A5" s="19" t="s">
        <v>97</v>
      </c>
      <c r="B5" s="20" t="s">
        <v>12</v>
      </c>
      <c r="C5" s="20" t="s">
        <v>278</v>
      </c>
      <c r="D5" s="20" t="s">
        <v>279</v>
      </c>
      <c r="E5" s="20" t="s">
        <v>280</v>
      </c>
    </row>
    <row r="6" customFormat="false" ht="15" hidden="false" customHeight="false" outlineLevel="0" collapsed="false">
      <c r="A6" s="19" t="s">
        <v>102</v>
      </c>
      <c r="B6" s="20" t="s">
        <v>12</v>
      </c>
      <c r="C6" s="20" t="s">
        <v>281</v>
      </c>
      <c r="D6" s="20" t="s">
        <v>282</v>
      </c>
      <c r="E6" s="20" t="s">
        <v>283</v>
      </c>
    </row>
    <row r="7" customFormat="false" ht="15" hidden="false" customHeight="false" outlineLevel="0" collapsed="false">
      <c r="A7" s="21" t="s">
        <v>160</v>
      </c>
      <c r="B7" s="22" t="s">
        <v>108</v>
      </c>
      <c r="C7" s="22" t="s">
        <v>284</v>
      </c>
      <c r="D7" s="22" t="s">
        <v>285</v>
      </c>
      <c r="E7" s="22" t="s">
        <v>286</v>
      </c>
    </row>
    <row r="8" customFormat="false" ht="15" hidden="false" customHeight="false" outlineLevel="0" collapsed="false">
      <c r="A8" s="21" t="s">
        <v>165</v>
      </c>
      <c r="B8" s="22" t="s">
        <v>108</v>
      </c>
      <c r="C8" s="22" t="s">
        <v>4</v>
      </c>
      <c r="D8" s="22" t="s">
        <v>287</v>
      </c>
      <c r="E8" s="22" t="s">
        <v>288</v>
      </c>
    </row>
    <row r="9" customFormat="false" ht="15" hidden="false" customHeight="false" outlineLevel="0" collapsed="false">
      <c r="A9" s="21" t="s">
        <v>171</v>
      </c>
      <c r="B9" s="22" t="s">
        <v>108</v>
      </c>
      <c r="C9" s="22" t="s">
        <v>278</v>
      </c>
      <c r="D9" s="22" t="s">
        <v>289</v>
      </c>
      <c r="E9" s="22" t="s">
        <v>280</v>
      </c>
    </row>
    <row r="10" customFormat="false" ht="15" hidden="false" customHeight="false" outlineLevel="0" collapsed="false">
      <c r="A10" s="21" t="s">
        <v>177</v>
      </c>
      <c r="B10" s="22" t="s">
        <v>108</v>
      </c>
      <c r="C10" s="22" t="s">
        <v>275</v>
      </c>
      <c r="D10" s="22" t="s">
        <v>290</v>
      </c>
      <c r="E10" s="22" t="s">
        <v>291</v>
      </c>
    </row>
    <row r="11" customFormat="false" ht="15" hidden="false" customHeight="false" outlineLevel="0" collapsed="false">
      <c r="A11" s="23" t="s">
        <v>221</v>
      </c>
      <c r="B11" s="24" t="s">
        <v>183</v>
      </c>
      <c r="C11" s="24" t="s">
        <v>292</v>
      </c>
      <c r="D11" s="24" t="s">
        <v>293</v>
      </c>
      <c r="E11" s="24" t="s">
        <v>294</v>
      </c>
    </row>
    <row r="12" customFormat="false" ht="15" hidden="false" customHeight="false" outlineLevel="0" collapsed="false">
      <c r="A12" s="23" t="s">
        <v>227</v>
      </c>
      <c r="B12" s="24" t="s">
        <v>183</v>
      </c>
      <c r="C12" s="24" t="s">
        <v>295</v>
      </c>
      <c r="D12" s="24" t="s">
        <v>296</v>
      </c>
      <c r="E12" s="24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2026-04-22T15:43:53Z</dcterms:created>
  <dc:creator>openpyxl</dc:creator>
  <dc:description/>
  <dc:language>en-US</dc:language>
  <cp:lastModifiedBy/>
  <dcterms:modified xsi:type="dcterms:W3CDTF">2026-04-22T15:43:53Z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