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p Riders Cards" sheetId="1" state="visible" r:id="rId3"/>
    <sheet name="Summary" sheetId="2" state="visible" r:id="rId4"/>
    <sheet name="Starter Deck" sheetId="3" state="visible" r:id="rId5"/>
    <sheet name="Combo Chains" sheetId="4" state="visible" r:id="rId6"/>
    <sheet name="Flux State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<sst xmlns="http://schemas.openxmlformats.org/spreadsheetml/2006/main" count="502" uniqueCount="314">
  <si>
    <t xml:space="preserve">ID</t>
  </si>
  <si>
    <t xml:space="preserve">Name</t>
  </si>
  <si>
    <t xml:space="preserve">Rarity</t>
  </si>
  <si>
    <t xml:space="preserve">Type</t>
  </si>
  <si>
    <t xml:space="preserve">Cost</t>
  </si>
  <si>
    <t xml:space="preserve">Effect</t>
  </si>
  <si>
    <t xml:space="preserve">Archetype</t>
  </si>
  <si>
    <t xml:space="preserve">Evolution Trigger</t>
  </si>
  <si>
    <t xml:space="preserve">Evolves Into</t>
  </si>
  <si>
    <t xml:space="preserve">Evolved Effect</t>
  </si>
  <si>
    <t xml:space="preserve">W-001</t>
  </si>
  <si>
    <t xml:space="preserve">Glitch Strike</t>
  </si>
  <si>
    <t xml:space="preserve">Common</t>
  </si>
  <si>
    <t xml:space="preserve">Attack</t>
  </si>
  <si>
    <t xml:space="preserve">Flux. A: Deal 4 damage. B: Deal 8 damage. C: Deal 6 damage and draw 1 card.</t>
  </si>
  <si>
    <t xml:space="preserve">Basic</t>
  </si>
  <si>
    <t xml:space="preserve">Played in all 3 states</t>
  </si>
  <si>
    <t xml:space="preserve">Stutter Strike</t>
  </si>
  <si>
    <t xml:space="preserve">Flux. A: Deal 5. B: Deal 10. C: Deal 7 and draw 1.</t>
  </si>
  <si>
    <t xml:space="preserve">W-002</t>
  </si>
  <si>
    <t xml:space="preserve">Warp Step</t>
  </si>
  <si>
    <t xml:space="preserve">Skill</t>
  </si>
  <si>
    <t xml:space="preserve">Flux. A: Gain 5 Block. B: Gain 3 Block and 1 Energy next turn. C: Gain 7 Block.</t>
  </si>
  <si>
    <t xml:space="preserve">Played 8 times</t>
  </si>
  <si>
    <t xml:space="preserve">Phase Step</t>
  </si>
  <si>
    <t xml:space="preserve">Flux. A: Gain 7 Block. B: Gain 5 Block and 1 Energy next turn. C: Gain 9 Block.</t>
  </si>
  <si>
    <t xml:space="preserve">W-003</t>
  </si>
  <si>
    <t xml:space="preserve">Twist</t>
  </si>
  <si>
    <t xml:space="preserve">Reroll the state of all Flux cards in your hand.</t>
  </si>
  <si>
    <t xml:space="preserve">Precision Phase</t>
  </si>
  <si>
    <t xml:space="preserve">Played 5 times</t>
  </si>
  <si>
    <t xml:space="preserve">Warp Twist</t>
  </si>
  <si>
    <t xml:space="preserve">Reroll all Flux cards in hand. The next Flux card you play this turn locks to a state of your choice.</t>
  </si>
  <si>
    <t xml:space="preserve">W-004</t>
  </si>
  <si>
    <t xml:space="preserve">Unstable Bolt</t>
  </si>
  <si>
    <t xml:space="preserve">Deal 3 to 10 damage (random).</t>
  </si>
  <si>
    <t xml:space="preserve">Chaos Storm</t>
  </si>
  <si>
    <t xml:space="preserve">Played 10 times</t>
  </si>
  <si>
    <t xml:space="preserve">Chaos Bolt</t>
  </si>
  <si>
    <t xml:space="preserve">Deal 5 to 12 damage (random).</t>
  </si>
  <si>
    <t xml:space="preserve">W-005</t>
  </si>
  <si>
    <t xml:space="preserve">Pocket Dim</t>
  </si>
  <si>
    <t xml:space="preserve">Remove a card from combat. It returns to your hand at the start of next turn.</t>
  </si>
  <si>
    <t xml:space="preserve">Rift Architect</t>
  </si>
  <si>
    <t xml:space="preserve">Null Pocket</t>
  </si>
  <si>
    <t xml:space="preserve">Remove 2 cards from combat. They return to hand next turn.</t>
  </si>
  <si>
    <t xml:space="preserve">W-006</t>
  </si>
  <si>
    <t xml:space="preserve">Phase Slash</t>
  </si>
  <si>
    <t xml:space="preserve">Deal 6 damage. Shuffle this card into your draw pile.</t>
  </si>
  <si>
    <t xml:space="preserve">Played 6 times</t>
  </si>
  <si>
    <t xml:space="preserve">Dimensional Slash</t>
  </si>
  <si>
    <t xml:space="preserve">Deal 8 damage. Shuffle this card into your draw pile.</t>
  </si>
  <si>
    <t xml:space="preserve">W-007</t>
  </si>
  <si>
    <t xml:space="preserve">Echo</t>
  </si>
  <si>
    <t xml:space="preserve">Add a copy of the last card played this combat to your hand.</t>
  </si>
  <si>
    <t xml:space="preserve">Played 4 times</t>
  </si>
  <si>
    <t xml:space="preserve">Resonant Echo</t>
  </si>
  <si>
    <t xml:space="preserve">Add a copy of each of the last 2 cards played this combat to your hand.</t>
  </si>
  <si>
    <t xml:space="preserve">W-008</t>
  </si>
  <si>
    <t xml:space="preserve">Spatial Strike</t>
  </si>
  <si>
    <t xml:space="preserve">Flux. A: Deal 8 damage. B: Deal 3 damage twice. C: Deal 5 damage and draw 1 card.</t>
  </si>
  <si>
    <t xml:space="preserve">Dimensional Strike</t>
  </si>
  <si>
    <t xml:space="preserve">Flux. A: Deal 10. B: Deal 4 twice. C: Deal 6 and draw 1.</t>
  </si>
  <si>
    <t xml:space="preserve">W-009</t>
  </si>
  <si>
    <t xml:space="preserve">Reality Crack</t>
  </si>
  <si>
    <t xml:space="preserve">Deal 4 damage to all enemies. Open a random Rift for 2 turns.</t>
  </si>
  <si>
    <t xml:space="preserve">Rift Crack</t>
  </si>
  <si>
    <t xml:space="preserve">Deal 5 damage to all enemies. Open 2 random Rifts for 2 turns.</t>
  </si>
  <si>
    <t xml:space="preserve">W-010</t>
  </si>
  <si>
    <t xml:space="preserve">Void Whisper</t>
  </si>
  <si>
    <t xml:space="preserve">Choose one: gain 1 Energy OR draw 2 cards.</t>
  </si>
  <si>
    <t xml:space="preserve">Void Command</t>
  </si>
  <si>
    <t xml:space="preserve">Gain 1 Energy and draw 1 card.</t>
  </si>
  <si>
    <t xml:space="preserve">W-011</t>
  </si>
  <si>
    <t xml:space="preserve">Anomaly</t>
  </si>
  <si>
    <t xml:space="preserve">Deal 4 to 12 damage (random).</t>
  </si>
  <si>
    <t xml:space="preserve">Singularity</t>
  </si>
  <si>
    <t xml:space="preserve">Deal 6 to 14 damage (random).</t>
  </si>
  <si>
    <t xml:space="preserve">W-012</t>
  </si>
  <si>
    <t xml:space="preserve">Stutter Step</t>
  </si>
  <si>
    <t xml:space="preserve">Gain 6 Block. Reroll all Flux cards in hand.</t>
  </si>
  <si>
    <t xml:space="preserve">Strobestep</t>
  </si>
  <si>
    <t xml:space="preserve">Gain 8 Block. Reroll all Flux cards in hand.</t>
  </si>
  <si>
    <t xml:space="preserve">W-013</t>
  </si>
  <si>
    <t xml:space="preserve">Warped Blade</t>
  </si>
  <si>
    <t xml:space="preserve">Flux. A: Deal 5 damage. B: Deal 7 damage. C: Deal 6 damage and apply Weak 1.</t>
  </si>
  <si>
    <t xml:space="preserve">Warped Edge</t>
  </si>
  <si>
    <t xml:space="preserve">Flux. A: Deal 7. B: Deal 9. C: Deal 8 and apply Weak 1.</t>
  </si>
  <si>
    <t xml:space="preserve">W-014</t>
  </si>
  <si>
    <t xml:space="preserve">Fold Space</t>
  </si>
  <si>
    <t xml:space="preserve">Return a random card from your discard pile to your hand.</t>
  </si>
  <si>
    <t xml:space="preserve">Unfold Space</t>
  </si>
  <si>
    <t xml:space="preserve">Return 2 random cards from your discard pile to your hand.</t>
  </si>
  <si>
    <t xml:space="preserve">W-015</t>
  </si>
  <si>
    <t xml:space="preserve">Quantum Guard</t>
  </si>
  <si>
    <t xml:space="preserve">Flux. A: Gain 5 Block. B: Gain 8 Block. C: Gain 3 Block and 3 Block next turn.</t>
  </si>
  <si>
    <t xml:space="preserve">Quantum Bulwark</t>
  </si>
  <si>
    <t xml:space="preserve">Flux. A: Gain 7. B: Gain 10. C: Gain 4 and 4 next turn.</t>
  </si>
  <si>
    <t xml:space="preserve">W-016</t>
  </si>
  <si>
    <t xml:space="preserve">Dimensional Rift</t>
  </si>
  <si>
    <t xml:space="preserve">Open a Cost Rift for 2 turns: 1 random card in your hand costs 0 each turn.</t>
  </si>
  <si>
    <t xml:space="preserve">Prime Rift</t>
  </si>
  <si>
    <t xml:space="preserve">Open a Cost Rift for 3 turns: 2 random cards in your hand cost 0 each turn.</t>
  </si>
  <si>
    <t xml:space="preserve">W-017</t>
  </si>
  <si>
    <t xml:space="preserve">Probability Wave</t>
  </si>
  <si>
    <t xml:space="preserve">Uncommon</t>
  </si>
  <si>
    <t xml:space="preserve">All Flux cards in your hand display their highest-value state this turn.</t>
  </si>
  <si>
    <t xml:space="preserve">Certainty Wave</t>
  </si>
  <si>
    <t xml:space="preserve">All Flux cards in your hand lock to their highest-value state for this turn.</t>
  </si>
  <si>
    <t xml:space="preserve">W-018</t>
  </si>
  <si>
    <t xml:space="preserve">Event Horizon</t>
  </si>
  <si>
    <t xml:space="preserve">Power</t>
  </si>
  <si>
    <t xml:space="preserve">Flux cards in your hand no longer shift at turn start.</t>
  </si>
  <si>
    <t xml:space="preserve">Survived 3 combats</t>
  </si>
  <si>
    <t xml:space="preserve">Absolute Horizon</t>
  </si>
  <si>
    <t xml:space="preserve">Flux cards in your hand no longer shift. Gain 2 Block at turn start.</t>
  </si>
  <si>
    <t xml:space="preserve">W-019</t>
  </si>
  <si>
    <t xml:space="preserve">Deal 6 to 20 damage (random).</t>
  </si>
  <si>
    <t xml:space="preserve">Storm Bolt</t>
  </si>
  <si>
    <t xml:space="preserve">Deal 8 to 24 damage (random).</t>
  </si>
  <si>
    <t xml:space="preserve">W-020</t>
  </si>
  <si>
    <t xml:space="preserve">Rift Walker</t>
  </si>
  <si>
    <t xml:space="preserve">Open 3 random Rifts for 2 turns each.</t>
  </si>
  <si>
    <t xml:space="preserve">Rift Strider</t>
  </si>
  <si>
    <t xml:space="preserve">Open 3 random Rifts for 3 turns each.</t>
  </si>
  <si>
    <t xml:space="preserve">W-021</t>
  </si>
  <si>
    <t xml:space="preserve">Paradox Strike</t>
  </si>
  <si>
    <t xml:space="preserve">Deal 14 damage. 50% chance to take 6 self damage.</t>
  </si>
  <si>
    <t xml:space="preserve">Played 5 times with no self-damage</t>
  </si>
  <si>
    <t xml:space="preserve">Paradox Lance</t>
  </si>
  <si>
    <t xml:space="preserve">Deal 18 damage. 50% chance to take 4 self damage.</t>
  </si>
  <si>
    <t xml:space="preserve">W-022</t>
  </si>
  <si>
    <t xml:space="preserve">Time Skip</t>
  </si>
  <si>
    <t xml:space="preserve">Skip the next turn of one enemy. Exhaust.</t>
  </si>
  <si>
    <t xml:space="preserve">Played 3 times</t>
  </si>
  <si>
    <t xml:space="preserve">Chronostop</t>
  </si>
  <si>
    <t xml:space="preserve">Skip the next turn of up to 2 enemies. Exhaust.</t>
  </si>
  <si>
    <t xml:space="preserve">W-023</t>
  </si>
  <si>
    <t xml:space="preserve">Tesseract</t>
  </si>
  <si>
    <t xml:space="preserve">Choose a Flux card in your hand. Lock it to the state of your choice for the rest of combat.</t>
  </si>
  <si>
    <t xml:space="preserve">Hypercube</t>
  </si>
  <si>
    <t xml:space="preserve">Choose 2 Flux cards in your hand. Lock each to a state of your choice for the rest of combat.</t>
  </si>
  <si>
    <t xml:space="preserve">W-024</t>
  </si>
  <si>
    <t xml:space="preserve">Dimensional Shield</t>
  </si>
  <si>
    <t xml:space="preserve">Flux. A: Gain 20 Block. B: Gain 10 Block and Retain. C: Gain 15 Block and 1 Energy next turn.</t>
  </si>
  <si>
    <t xml:space="preserve">Multiversal Shield</t>
  </si>
  <si>
    <t xml:space="preserve">Flux. A: Gain 24. B: Gain 12 and Retain. C: Gain 18 and 1 Energy next turn.</t>
  </si>
  <si>
    <t xml:space="preserve">W-025</t>
  </si>
  <si>
    <t xml:space="preserve">Warp Strike</t>
  </si>
  <si>
    <t xml:space="preserve">Flux. A: Deal 18 damage. B: Deal 10 damage and apply Vulnerable 2. C: Deal 12 damage twice.</t>
  </si>
  <si>
    <t xml:space="preserve">Warp Lance</t>
  </si>
  <si>
    <t xml:space="preserve">Flux. A: Deal 22. B: Deal 12 and Vulnerable 3. C: Deal 14 twice.</t>
  </si>
  <si>
    <t xml:space="preserve">W-026</t>
  </si>
  <si>
    <t xml:space="preserve">Probability Reset</t>
  </si>
  <si>
    <t xml:space="preserve">Reroll all Flux cards in your hand and draw pile. Draw 2 cards.</t>
  </si>
  <si>
    <t xml:space="preserve">Reality Reset</t>
  </si>
  <si>
    <t xml:space="preserve">Reroll all Flux cards in hand, draw, and discard. Draw 2 cards.</t>
  </si>
  <si>
    <t xml:space="preserve">W-027</t>
  </si>
  <si>
    <t xml:space="preserve">Entropy</t>
  </si>
  <si>
    <t xml:space="preserve">Enemies' telegraphed damage values are randomized each turn within their range.</t>
  </si>
  <si>
    <t xml:space="preserve">Disorder</t>
  </si>
  <si>
    <t xml:space="preserve">Enemies' damage is randomized and reduced by 1 per hit.</t>
  </si>
  <si>
    <t xml:space="preserve">W-028</t>
  </si>
  <si>
    <t xml:space="preserve">Collapsing Star</t>
  </si>
  <si>
    <t xml:space="preserve">Deal 8 to 20 damage to all enemies (random). Take 3 self damage.</t>
  </si>
  <si>
    <t xml:space="preserve">Quasar</t>
  </si>
  <si>
    <t xml:space="preserve">Deal 10 to 24 damage to all enemies. Take 3 self damage.</t>
  </si>
  <si>
    <t xml:space="preserve">W-029</t>
  </si>
  <si>
    <t xml:space="preserve">Flux. A: Draw 1 extra card each turn. B: Gain 1 extra Energy each turn. C: Gain 4 Block each turn.</t>
  </si>
  <si>
    <t xml:space="preserve">Triggered 10 times</t>
  </si>
  <si>
    <t xml:space="preserve">Event Singularity</t>
  </si>
  <si>
    <t xml:space="preserve">Flux. A: Draw 2 extra. B: Gain 2 Energy. C: Gain 6 Block each turn.</t>
  </si>
  <si>
    <t xml:space="preserve">W-030</t>
  </si>
  <si>
    <t xml:space="preserve">Mirror Self</t>
  </si>
  <si>
    <t xml:space="preserve">Add a copy of 2 cards from your hand to your hand. They cost 0 this turn.</t>
  </si>
  <si>
    <t xml:space="preserve">Mirror Legion</t>
  </si>
  <si>
    <t xml:space="preserve">Add a copy of 3 cards from your hand to your hand. They cost 0 this turn.</t>
  </si>
  <si>
    <t xml:space="preserve">W-031</t>
  </si>
  <si>
    <t xml:space="preserve">The Archer</t>
  </si>
  <si>
    <t xml:space="preserve">Rare</t>
  </si>
  <si>
    <t xml:space="preserve">Deal 20 damage to one target. Ignore all evasion and positional effects. Your next Flux card locks to its current state.</t>
  </si>
  <si>
    <t xml:space="preserve">Killed 3 enemies with this</t>
  </si>
  <si>
    <t xml:space="preserve">The Archer's Eye</t>
  </si>
  <si>
    <t xml:space="preserve">Deal 24 damage to one target. Ignore all evasion and positional effects. Your next 2 Flux cards lock to their current states.</t>
  </si>
  <si>
    <t xml:space="preserve">W-032</t>
  </si>
  <si>
    <t xml:space="preserve">Cosmic Choir</t>
  </si>
  <si>
    <t xml:space="preserve">Whenever a Flux card in your hand shifts state, deal 3 damage to a random enemy and gain 1 Block.</t>
  </si>
  <si>
    <t xml:space="preserve">Triggered 20 times</t>
  </si>
  <si>
    <t xml:space="preserve">Harmonic Choir</t>
  </si>
  <si>
    <t xml:space="preserve">Whenever a Flux card in your hand shifts state, deal 5 damage to a random enemy and gain 2 Block.</t>
  </si>
  <si>
    <t xml:space="preserve">W-033</t>
  </si>
  <si>
    <t xml:space="preserve">The Burning Face of the World</t>
  </si>
  <si>
    <t xml:space="preserve">Deal 40 damage to all enemies. Apply Vulnerable 2 to all. Open 3 random Rifts for 2 turns. Exhaust.</t>
  </si>
  <si>
    <t xml:space="preserve">Played 2 times</t>
  </si>
  <si>
    <t xml:space="preserve">The Molten Face of the World</t>
  </si>
  <si>
    <t xml:space="preserve">Deal 55 damage to all enemies. Apply Vulnerable 3 to all. Open 4 random Rifts for 2 turns. Exhaust.</t>
  </si>
  <si>
    <t xml:space="preserve">W-034</t>
  </si>
  <si>
    <t xml:space="preserve">Mistress of the Mysteries</t>
  </si>
  <si>
    <t xml:space="preserve">At start of each turn, reveal the top card of your draw pile. Once per turn, you may play that card from the top of your draw pile for 1 less Energy (min 0).</t>
  </si>
  <si>
    <t xml:space="preserve">Used ability 8 times</t>
  </si>
  <si>
    <t xml:space="preserve">Oracle of the Mysteries</t>
  </si>
  <si>
    <t xml:space="preserve">At start of each turn, reveal the top 2 cards. Once per turn, play either for 1 less Energy (min 0).</t>
  </si>
  <si>
    <t xml:space="preserve">W-035</t>
  </si>
  <si>
    <t xml:space="preserve">Omniverse Slash</t>
  </si>
  <si>
    <t xml:space="preserve">Deal 8 damage to target 5 times. Each hit independently has a 50% chance to deal double damage.</t>
  </si>
  <si>
    <t xml:space="preserve">Played with 3+ double hits triggered</t>
  </si>
  <si>
    <t xml:space="preserve">Multiverse Slash</t>
  </si>
  <si>
    <t xml:space="preserve">Deal 10 damage to target 5 times. Each hit has a 50% chance to deal double damage.</t>
  </si>
  <si>
    <t xml:space="preserve">W-036</t>
  </si>
  <si>
    <t xml:space="preserve">Rift Master</t>
  </si>
  <si>
    <t xml:space="preserve">All Rifts you open last twice as long and their effects are doubled.</t>
  </si>
  <si>
    <t xml:space="preserve">Opened 10 Rifts</t>
  </si>
  <si>
    <t xml:space="preserve">Reality Shaper</t>
  </si>
  <si>
    <t xml:space="preserve">All Rifts you open last three times as long and their effects are tripled.</t>
  </si>
  <si>
    <t xml:space="preserve">W-037</t>
  </si>
  <si>
    <t xml:space="preserve">Schrödinger</t>
  </si>
  <si>
    <t xml:space="preserve">This turn: all damage dealt and taken is multiplied by 0 or 2 (50/50 roll). Exhaust.</t>
  </si>
  <si>
    <t xml:space="preserve">Triggered 2x outcome 3 times</t>
  </si>
  <si>
    <t xml:space="preserve">Observer</t>
  </si>
  <si>
    <t xml:space="preserve">This turn: all damage dealt and taken is multiplied by 0 or 2 (33/66 in your favor). Exhaust.</t>
  </si>
  <si>
    <t xml:space="preserve">W-038</t>
  </si>
  <si>
    <t xml:space="preserve">Chrono Break</t>
  </si>
  <si>
    <t xml:space="preserve">Replay every card play from your previous turn in the same order. Exhaust.</t>
  </si>
  <si>
    <t xml:space="preserve">Chrono Mastery</t>
  </si>
  <si>
    <t xml:space="preserve">Replay every card play from your previous 2 turns in order. Exhaust.</t>
  </si>
  <si>
    <t xml:space="preserve">W-039</t>
  </si>
  <si>
    <t xml:space="preserve">Reality Anchor</t>
  </si>
  <si>
    <t xml:space="preserve">At start of each turn, lock one Flux card in your hand to a state of your choice.</t>
  </si>
  <si>
    <t xml:space="preserve">Reality Forge</t>
  </si>
  <si>
    <t xml:space="preserve">At start of each turn, lock 2 Flux cards in your hand to states of your choice.</t>
  </si>
  <si>
    <t xml:space="preserve">W-040</t>
  </si>
  <si>
    <t xml:space="preserve">Genesis Bolt</t>
  </si>
  <si>
    <t xml:space="preserve">Deal 25 damage to all enemies. Apply Weak 2, Vulnerable 2, and 4 Burn to all enemies. Open a Genesis Rift for 1 turn (all cards cost -1 Energy).</t>
  </si>
  <si>
    <t xml:space="preserve">Genesis Forge</t>
  </si>
  <si>
    <t xml:space="preserve">Deal 30 damage to all enemies. Apply Weak 3, Vulnerable 3, and 5 Burn. Open 2 Genesis Rifts.</t>
  </si>
  <si>
    <t xml:space="preserve">Warp Riders Card Pool — Summary</t>
  </si>
  <si>
    <t xml:space="preserve">Count</t>
  </si>
  <si>
    <t xml:space="preserve">Draft Weight</t>
  </si>
  <si>
    <t xml:space="preserve">60%</t>
  </si>
  <si>
    <t xml:space="preserve">30%</t>
  </si>
  <si>
    <t xml:space="preserve">10%</t>
  </si>
  <si>
    <t xml:space="preserve">Total</t>
  </si>
  <si>
    <t xml:space="preserve">Card Count</t>
  </si>
  <si>
    <t xml:space="preserve">Flux cards in pool</t>
  </si>
  <si>
    <t xml:space="preserve">Rift-opening cards</t>
  </si>
  <si>
    <t xml:space="preserve">Warp Rider Shiftblade — Starter Deck (10 cards)</t>
  </si>
  <si>
    <t xml:space="preserve">Card</t>
  </si>
  <si>
    <t xml:space="preserve">Flux. A: Deal 4. B: Deal 8. C: Deal 6 + draw 1.</t>
  </si>
  <si>
    <t xml:space="preserve">Flux. A: Gain 5 Block. B: Gain 3 Block + 1 Energy next turn. C: Gain 7 Block.</t>
  </si>
  <si>
    <t xml:space="preserve">Probability Anchor</t>
  </si>
  <si>
    <t xml:space="preserve">Special</t>
  </si>
  <si>
    <t xml:space="preserve">Power 1</t>
  </si>
  <si>
    <t xml:space="preserve">Once per turn, lock one Flux card in your hand to its current state.</t>
  </si>
  <si>
    <t xml:space="preserve">Warp Riders Combo Chains</t>
  </si>
  <si>
    <t xml:space="preserve">Combo</t>
  </si>
  <si>
    <t xml:space="preserve">Cards</t>
  </si>
  <si>
    <t xml:space="preserve">Description</t>
  </si>
  <si>
    <t xml:space="preserve">1. Locked Burst</t>
  </si>
  <si>
    <t xml:space="preserve">Tesseract + Mirror Self + Warp Strike</t>
  </si>
  <si>
    <t xml:space="preserve">Lock Warp Strike to state A (18 dmg), copy it with Mirror Self, play both for ~36 damage on a 2-cost base.</t>
  </si>
  <si>
    <t xml:space="preserve">2. Choir Trigger Engine</t>
  </si>
  <si>
    <t xml:space="preserve">Cosmic Choir (power) + 3-4 Flux cards in hand</t>
  </si>
  <si>
    <t xml:space="preserve">Every turn start, multiple Flux cards reshift. Cosmic Choir fires 3 damage per shift. ~10-15 free damage per turn.</t>
  </si>
  <si>
    <t xml:space="preserve">3. Burning Finale</t>
  </si>
  <si>
    <t xml:space="preserve">Mistress of the Mysteries + The Burning Face of the World</t>
  </si>
  <si>
    <t xml:space="preserve">Mistress reveals Burning Face on top of deck. Play it for 2 Energy instead of 3. 40 AoE damage + 3 Rifts + Vulnerable.</t>
  </si>
  <si>
    <t xml:space="preserve">4. Rift Stack</t>
  </si>
  <si>
    <t xml:space="preserve">Rift Walker + Rift Master + any Rift-opener</t>
  </si>
  <si>
    <t xml:space="preserve">Rift Walker opens 3 Rifts. Rift Master doubles duration and effects. Battlefield is warped for the rest of combat.</t>
  </si>
  <si>
    <t xml:space="preserve">5. Chrono Loop</t>
  </si>
  <si>
    <t xml:space="preserve">Chrono Break + a strong setup turn</t>
  </si>
  <si>
    <t xml:space="preserve">Have a great turn, then Chrono Break replays all your cards from that turn. Essentially two turns in one.</t>
  </si>
  <si>
    <t xml:space="preserve">Flux Cards — State Reference Grid</t>
  </si>
  <si>
    <t xml:space="preserve">State A</t>
  </si>
  <si>
    <t xml:space="preserve">State B</t>
  </si>
  <si>
    <t xml:space="preserve">State C</t>
  </si>
  <si>
    <t xml:space="preserve">Deal 4 damage</t>
  </si>
  <si>
    <t xml:space="preserve">Deal 8 damage</t>
  </si>
  <si>
    <t xml:space="preserve">Deal 6 damage + draw 1</t>
  </si>
  <si>
    <t xml:space="preserve">Gain 5 Block</t>
  </si>
  <si>
    <t xml:space="preserve">Gain 3 Block + 1 Energy next turn</t>
  </si>
  <si>
    <t xml:space="preserve">Gain 7 Block</t>
  </si>
  <si>
    <t xml:space="preserve">Deal 3 damage twice</t>
  </si>
  <si>
    <t xml:space="preserve">Deal 5 damage + draw 1</t>
  </si>
  <si>
    <t xml:space="preserve">Deal 5 damage</t>
  </si>
  <si>
    <t xml:space="preserve">Deal 7 damage</t>
  </si>
  <si>
    <t xml:space="preserve">Deal 6 damage + Weak 1</t>
  </si>
  <si>
    <t xml:space="preserve">Gain 8 Block</t>
  </si>
  <si>
    <t xml:space="preserve">Gain 3 Block + 3 next turn</t>
  </si>
  <si>
    <t xml:space="preserve">Gain 20 Block</t>
  </si>
  <si>
    <t xml:space="preserve">Gain 10 Block + Retain</t>
  </si>
  <si>
    <t xml:space="preserve">Gain 15 Block + 1 Energy next turn</t>
  </si>
  <si>
    <t xml:space="preserve">Deal 18 damage</t>
  </si>
  <si>
    <t xml:space="preserve">Deal 10 damage + Vulnerable 2</t>
  </si>
  <si>
    <t xml:space="preserve">Deal 12 damage twice</t>
  </si>
  <si>
    <t xml:space="preserve">Draw +1 each turn</t>
  </si>
  <si>
    <t xml:space="preserve">Energy +1 each turn</t>
  </si>
  <si>
    <t xml:space="preserve">Block +4 each turn</t>
  </si>
  <si>
    <t xml:space="preserve">Rift Types</t>
  </si>
  <si>
    <t xml:space="preserve">Rift</t>
  </si>
  <si>
    <t xml:space="preserve">Rarity Tier</t>
  </si>
  <si>
    <t xml:space="preserve">Opened By</t>
  </si>
  <si>
    <t xml:space="preserve">Cost Rift</t>
  </si>
  <si>
    <t xml:space="preserve">Common/Uncommon</t>
  </si>
  <si>
    <t xml:space="preserve">One random card in hand costs 0 per turn</t>
  </si>
  <si>
    <t xml:space="preserve">Damage Rift</t>
  </si>
  <si>
    <t xml:space="preserve">All your attacks deal +3 damage</t>
  </si>
  <si>
    <t xml:space="preserve">Rift Walker (random)</t>
  </si>
  <si>
    <t xml:space="preserve">Flux Rift</t>
  </si>
  <si>
    <t xml:space="preserve">All Flux cards in hand lock to current state</t>
  </si>
  <si>
    <t xml:space="preserve">Echo Rift</t>
  </si>
  <si>
    <t xml:space="preserve">First card played each turn echoes (plays twice)</t>
  </si>
  <si>
    <t xml:space="preserve">Genesis Rift</t>
  </si>
  <si>
    <t xml:space="preserve">All cards cost 1 less Energy (min 0)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</si>
</sst>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E8E8E8"/>
        <bgColor rgb="FFFFFFFF"/>
      </patternFill>
    </fill>
    <fill>
      <patternFill patternType="solid">
        <fgColor rgb="FFC4D9F0"/>
        <bgColor rgb="FFE8E8E8"/>
      </patternFill>
    </fill>
    <fill>
      <patternFill patternType="solid">
        <fgColor rgb="FFF5D9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4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9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58"/>
    <col collapsed="false" customWidth="true" hidden="false" outlineLevel="0" max="7" min="7" style="0" width="17"/>
    <col collapsed="false" customWidth="true" hidden="false" outlineLevel="0" max="8" min="8" style="0" width="32"/>
    <col collapsed="false" customWidth="true" hidden="false" outlineLevel="0" max="9" min="9" style="0" width="26"/>
    <col collapsed="false" customWidth="true" hidden="false" outlineLevel="0" max="10" min="10" style="0" width="5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8" hidden="false" customHeight="tru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n">
        <v>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48" hidden="false" customHeight="true" outlineLevel="0" collapsed="false">
      <c r="A3" s="2" t="s">
        <v>19</v>
      </c>
      <c r="B3" s="3" t="s">
        <v>20</v>
      </c>
      <c r="C3" s="2" t="s">
        <v>12</v>
      </c>
      <c r="D3" s="2" t="s">
        <v>21</v>
      </c>
      <c r="E3" s="2" t="n">
        <v>1</v>
      </c>
      <c r="F3" s="2" t="s">
        <v>22</v>
      </c>
      <c r="G3" s="2" t="s">
        <v>15</v>
      </c>
      <c r="H3" s="2" t="s">
        <v>23</v>
      </c>
      <c r="I3" s="2" t="s">
        <v>24</v>
      </c>
      <c r="J3" s="2" t="s">
        <v>25</v>
      </c>
    </row>
    <row r="4" customFormat="false" ht="48" hidden="false" customHeight="true" outlineLevel="0" collapsed="false">
      <c r="A4" s="2" t="s">
        <v>26</v>
      </c>
      <c r="B4" s="3" t="s">
        <v>27</v>
      </c>
      <c r="C4" s="2" t="s">
        <v>12</v>
      </c>
      <c r="D4" s="2" t="s">
        <v>21</v>
      </c>
      <c r="E4" s="2" t="n">
        <v>0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48" hidden="false" customHeight="true" outlineLevel="0" collapsed="false">
      <c r="A5" s="2" t="s">
        <v>33</v>
      </c>
      <c r="B5" s="3" t="s">
        <v>34</v>
      </c>
      <c r="C5" s="2" t="s">
        <v>12</v>
      </c>
      <c r="D5" s="2" t="s">
        <v>13</v>
      </c>
      <c r="E5" s="2" t="n">
        <v>1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</row>
    <row r="6" customFormat="false" ht="48" hidden="false" customHeight="true" outlineLevel="0" collapsed="false">
      <c r="A6" s="2" t="s">
        <v>40</v>
      </c>
      <c r="B6" s="3" t="s">
        <v>41</v>
      </c>
      <c r="C6" s="2" t="s">
        <v>12</v>
      </c>
      <c r="D6" s="2" t="s">
        <v>21</v>
      </c>
      <c r="E6" s="2" t="n">
        <v>1</v>
      </c>
      <c r="F6" s="2" t="s">
        <v>42</v>
      </c>
      <c r="G6" s="2" t="s">
        <v>43</v>
      </c>
      <c r="H6" s="2" t="s">
        <v>30</v>
      </c>
      <c r="I6" s="2" t="s">
        <v>44</v>
      </c>
      <c r="J6" s="2" t="s">
        <v>45</v>
      </c>
    </row>
    <row r="7" customFormat="false" ht="48" hidden="false" customHeight="true" outlineLevel="0" collapsed="false">
      <c r="A7" s="2" t="s">
        <v>46</v>
      </c>
      <c r="B7" s="3" t="s">
        <v>47</v>
      </c>
      <c r="C7" s="2" t="s">
        <v>12</v>
      </c>
      <c r="D7" s="2" t="s">
        <v>13</v>
      </c>
      <c r="E7" s="2" t="n">
        <v>1</v>
      </c>
      <c r="F7" s="2" t="s">
        <v>48</v>
      </c>
      <c r="G7" s="2" t="s">
        <v>36</v>
      </c>
      <c r="H7" s="2" t="s">
        <v>49</v>
      </c>
      <c r="I7" s="2" t="s">
        <v>50</v>
      </c>
      <c r="J7" s="2" t="s">
        <v>51</v>
      </c>
    </row>
    <row r="8" customFormat="false" ht="48" hidden="false" customHeight="true" outlineLevel="0" collapsed="false">
      <c r="A8" s="2" t="s">
        <v>52</v>
      </c>
      <c r="B8" s="3" t="s">
        <v>53</v>
      </c>
      <c r="C8" s="2" t="s">
        <v>12</v>
      </c>
      <c r="D8" s="2" t="s">
        <v>21</v>
      </c>
      <c r="E8" s="2" t="n">
        <v>1</v>
      </c>
      <c r="F8" s="2" t="s">
        <v>54</v>
      </c>
      <c r="G8" s="2" t="s">
        <v>36</v>
      </c>
      <c r="H8" s="2" t="s">
        <v>55</v>
      </c>
      <c r="I8" s="2" t="s">
        <v>56</v>
      </c>
      <c r="J8" s="2" t="s">
        <v>57</v>
      </c>
    </row>
    <row r="9" customFormat="false" ht="48" hidden="false" customHeight="true" outlineLevel="0" collapsed="false">
      <c r="A9" s="2" t="s">
        <v>58</v>
      </c>
      <c r="B9" s="3" t="s">
        <v>59</v>
      </c>
      <c r="C9" s="2" t="s">
        <v>12</v>
      </c>
      <c r="D9" s="2" t="s">
        <v>13</v>
      </c>
      <c r="E9" s="2" t="n">
        <v>1</v>
      </c>
      <c r="F9" s="2" t="s">
        <v>60</v>
      </c>
      <c r="G9" s="2" t="s">
        <v>36</v>
      </c>
      <c r="H9" s="2" t="s">
        <v>30</v>
      </c>
      <c r="I9" s="2" t="s">
        <v>61</v>
      </c>
      <c r="J9" s="2" t="s">
        <v>62</v>
      </c>
    </row>
    <row r="10" customFormat="false" ht="48" hidden="false" customHeight="true" outlineLevel="0" collapsed="false">
      <c r="A10" s="2" t="s">
        <v>63</v>
      </c>
      <c r="B10" s="3" t="s">
        <v>64</v>
      </c>
      <c r="C10" s="2" t="s">
        <v>12</v>
      </c>
      <c r="D10" s="2" t="s">
        <v>21</v>
      </c>
      <c r="E10" s="2" t="n">
        <v>1</v>
      </c>
      <c r="F10" s="2" t="s">
        <v>65</v>
      </c>
      <c r="G10" s="2" t="s">
        <v>43</v>
      </c>
      <c r="H10" s="2" t="s">
        <v>49</v>
      </c>
      <c r="I10" s="2" t="s">
        <v>66</v>
      </c>
      <c r="J10" s="2" t="s">
        <v>67</v>
      </c>
    </row>
    <row r="11" customFormat="false" ht="48" hidden="false" customHeight="true" outlineLevel="0" collapsed="false">
      <c r="A11" s="2" t="s">
        <v>68</v>
      </c>
      <c r="B11" s="3" t="s">
        <v>69</v>
      </c>
      <c r="C11" s="2" t="s">
        <v>12</v>
      </c>
      <c r="D11" s="2" t="s">
        <v>21</v>
      </c>
      <c r="E11" s="2" t="n">
        <v>0</v>
      </c>
      <c r="F11" s="2" t="s">
        <v>70</v>
      </c>
      <c r="G11" s="2" t="s">
        <v>36</v>
      </c>
      <c r="H11" s="2" t="s">
        <v>30</v>
      </c>
      <c r="I11" s="2" t="s">
        <v>71</v>
      </c>
      <c r="J11" s="2" t="s">
        <v>72</v>
      </c>
    </row>
    <row r="12" customFormat="false" ht="48" hidden="false" customHeight="true" outlineLevel="0" collapsed="false">
      <c r="A12" s="2" t="s">
        <v>73</v>
      </c>
      <c r="B12" s="3" t="s">
        <v>74</v>
      </c>
      <c r="C12" s="2" t="s">
        <v>12</v>
      </c>
      <c r="D12" s="2" t="s">
        <v>13</v>
      </c>
      <c r="E12" s="2" t="n">
        <v>1</v>
      </c>
      <c r="F12" s="2" t="s">
        <v>75</v>
      </c>
      <c r="G12" s="2" t="s">
        <v>36</v>
      </c>
      <c r="H12" s="2" t="s">
        <v>37</v>
      </c>
      <c r="I12" s="2" t="s">
        <v>76</v>
      </c>
      <c r="J12" s="2" t="s">
        <v>77</v>
      </c>
    </row>
    <row r="13" customFormat="false" ht="48" hidden="false" customHeight="true" outlineLevel="0" collapsed="false">
      <c r="A13" s="2" t="s">
        <v>78</v>
      </c>
      <c r="B13" s="3" t="s">
        <v>79</v>
      </c>
      <c r="C13" s="2" t="s">
        <v>12</v>
      </c>
      <c r="D13" s="2" t="s">
        <v>21</v>
      </c>
      <c r="E13" s="2" t="n">
        <v>1</v>
      </c>
      <c r="F13" s="2" t="s">
        <v>80</v>
      </c>
      <c r="G13" s="2" t="s">
        <v>29</v>
      </c>
      <c r="H13" s="2" t="s">
        <v>30</v>
      </c>
      <c r="I13" s="2" t="s">
        <v>81</v>
      </c>
      <c r="J13" s="2" t="s">
        <v>82</v>
      </c>
    </row>
    <row r="14" customFormat="false" ht="48" hidden="false" customHeight="true" outlineLevel="0" collapsed="false">
      <c r="A14" s="2" t="s">
        <v>83</v>
      </c>
      <c r="B14" s="3" t="s">
        <v>84</v>
      </c>
      <c r="C14" s="2" t="s">
        <v>12</v>
      </c>
      <c r="D14" s="2" t="s">
        <v>13</v>
      </c>
      <c r="E14" s="2" t="n">
        <v>1</v>
      </c>
      <c r="F14" s="2" t="s">
        <v>85</v>
      </c>
      <c r="G14" s="2" t="s">
        <v>36</v>
      </c>
      <c r="H14" s="2" t="s">
        <v>49</v>
      </c>
      <c r="I14" s="2" t="s">
        <v>86</v>
      </c>
      <c r="J14" s="2" t="s">
        <v>87</v>
      </c>
    </row>
    <row r="15" customFormat="false" ht="48" hidden="false" customHeight="true" outlineLevel="0" collapsed="false">
      <c r="A15" s="2" t="s">
        <v>88</v>
      </c>
      <c r="B15" s="3" t="s">
        <v>89</v>
      </c>
      <c r="C15" s="2" t="s">
        <v>12</v>
      </c>
      <c r="D15" s="2" t="s">
        <v>21</v>
      </c>
      <c r="E15" s="2" t="n">
        <v>1</v>
      </c>
      <c r="F15" s="2" t="s">
        <v>90</v>
      </c>
      <c r="G15" s="2" t="s">
        <v>43</v>
      </c>
      <c r="H15" s="2" t="s">
        <v>30</v>
      </c>
      <c r="I15" s="2" t="s">
        <v>91</v>
      </c>
      <c r="J15" s="2" t="s">
        <v>92</v>
      </c>
    </row>
    <row r="16" customFormat="false" ht="48" hidden="false" customHeight="true" outlineLevel="0" collapsed="false">
      <c r="A16" s="2" t="s">
        <v>93</v>
      </c>
      <c r="B16" s="3" t="s">
        <v>94</v>
      </c>
      <c r="C16" s="2" t="s">
        <v>12</v>
      </c>
      <c r="D16" s="2" t="s">
        <v>21</v>
      </c>
      <c r="E16" s="2" t="n">
        <v>1</v>
      </c>
      <c r="F16" s="2" t="s">
        <v>95</v>
      </c>
      <c r="G16" s="2" t="s">
        <v>29</v>
      </c>
      <c r="H16" s="2" t="s">
        <v>49</v>
      </c>
      <c r="I16" s="2" t="s">
        <v>96</v>
      </c>
      <c r="J16" s="2" t="s">
        <v>97</v>
      </c>
    </row>
    <row r="17" customFormat="false" ht="48" hidden="false" customHeight="true" outlineLevel="0" collapsed="false">
      <c r="A17" s="2" t="s">
        <v>98</v>
      </c>
      <c r="B17" s="3" t="s">
        <v>99</v>
      </c>
      <c r="C17" s="2" t="s">
        <v>12</v>
      </c>
      <c r="D17" s="2" t="s">
        <v>21</v>
      </c>
      <c r="E17" s="2" t="n">
        <v>2</v>
      </c>
      <c r="F17" s="2" t="s">
        <v>100</v>
      </c>
      <c r="G17" s="2" t="s">
        <v>43</v>
      </c>
      <c r="H17" s="2" t="s">
        <v>30</v>
      </c>
      <c r="I17" s="2" t="s">
        <v>101</v>
      </c>
      <c r="J17" s="2" t="s">
        <v>102</v>
      </c>
    </row>
    <row r="18" customFormat="false" ht="48" hidden="false" customHeight="true" outlineLevel="0" collapsed="false">
      <c r="A18" s="4" t="s">
        <v>103</v>
      </c>
      <c r="B18" s="5" t="s">
        <v>104</v>
      </c>
      <c r="C18" s="4" t="s">
        <v>105</v>
      </c>
      <c r="D18" s="4" t="s">
        <v>21</v>
      </c>
      <c r="E18" s="4" t="n">
        <v>1</v>
      </c>
      <c r="F18" s="4" t="s">
        <v>106</v>
      </c>
      <c r="G18" s="4" t="s">
        <v>29</v>
      </c>
      <c r="H18" s="4" t="s">
        <v>55</v>
      </c>
      <c r="I18" s="4" t="s">
        <v>107</v>
      </c>
      <c r="J18" s="4" t="s">
        <v>108</v>
      </c>
    </row>
    <row r="19" customFormat="false" ht="48" hidden="false" customHeight="true" outlineLevel="0" collapsed="false">
      <c r="A19" s="4" t="s">
        <v>109</v>
      </c>
      <c r="B19" s="5" t="s">
        <v>110</v>
      </c>
      <c r="C19" s="4" t="s">
        <v>105</v>
      </c>
      <c r="D19" s="4" t="s">
        <v>111</v>
      </c>
      <c r="E19" s="4" t="n">
        <v>2</v>
      </c>
      <c r="F19" s="4" t="s">
        <v>112</v>
      </c>
      <c r="G19" s="4" t="s">
        <v>29</v>
      </c>
      <c r="H19" s="4" t="s">
        <v>113</v>
      </c>
      <c r="I19" s="4" t="s">
        <v>114</v>
      </c>
      <c r="J19" s="4" t="s">
        <v>115</v>
      </c>
    </row>
    <row r="20" customFormat="false" ht="48" hidden="false" customHeight="true" outlineLevel="0" collapsed="false">
      <c r="A20" s="4" t="s">
        <v>116</v>
      </c>
      <c r="B20" s="5" t="s">
        <v>38</v>
      </c>
      <c r="C20" s="4" t="s">
        <v>105</v>
      </c>
      <c r="D20" s="4" t="s">
        <v>13</v>
      </c>
      <c r="E20" s="4" t="n">
        <v>1</v>
      </c>
      <c r="F20" s="4" t="s">
        <v>117</v>
      </c>
      <c r="G20" s="4" t="s">
        <v>36</v>
      </c>
      <c r="H20" s="4" t="s">
        <v>49</v>
      </c>
      <c r="I20" s="4" t="s">
        <v>118</v>
      </c>
      <c r="J20" s="4" t="s">
        <v>119</v>
      </c>
    </row>
    <row r="21" customFormat="false" ht="48" hidden="false" customHeight="true" outlineLevel="0" collapsed="false">
      <c r="A21" s="4" t="s">
        <v>120</v>
      </c>
      <c r="B21" s="5" t="s">
        <v>121</v>
      </c>
      <c r="C21" s="4" t="s">
        <v>105</v>
      </c>
      <c r="D21" s="4" t="s">
        <v>21</v>
      </c>
      <c r="E21" s="4" t="n">
        <v>2</v>
      </c>
      <c r="F21" s="4" t="s">
        <v>122</v>
      </c>
      <c r="G21" s="4" t="s">
        <v>43</v>
      </c>
      <c r="H21" s="4" t="s">
        <v>55</v>
      </c>
      <c r="I21" s="4" t="s">
        <v>123</v>
      </c>
      <c r="J21" s="4" t="s">
        <v>124</v>
      </c>
    </row>
    <row r="22" customFormat="false" ht="48" hidden="false" customHeight="true" outlineLevel="0" collapsed="false">
      <c r="A22" s="4" t="s">
        <v>125</v>
      </c>
      <c r="B22" s="5" t="s">
        <v>126</v>
      </c>
      <c r="C22" s="4" t="s">
        <v>105</v>
      </c>
      <c r="D22" s="4" t="s">
        <v>13</v>
      </c>
      <c r="E22" s="4" t="n">
        <v>2</v>
      </c>
      <c r="F22" s="4" t="s">
        <v>127</v>
      </c>
      <c r="G22" s="4" t="s">
        <v>36</v>
      </c>
      <c r="H22" s="4" t="s">
        <v>128</v>
      </c>
      <c r="I22" s="4" t="s">
        <v>129</v>
      </c>
      <c r="J22" s="4" t="s">
        <v>130</v>
      </c>
    </row>
    <row r="23" customFormat="false" ht="48" hidden="false" customHeight="true" outlineLevel="0" collapsed="false">
      <c r="A23" s="4" t="s">
        <v>131</v>
      </c>
      <c r="B23" s="5" t="s">
        <v>132</v>
      </c>
      <c r="C23" s="4" t="s">
        <v>105</v>
      </c>
      <c r="D23" s="4" t="s">
        <v>21</v>
      </c>
      <c r="E23" s="4" t="n">
        <v>2</v>
      </c>
      <c r="F23" s="4" t="s">
        <v>133</v>
      </c>
      <c r="G23" s="4" t="s">
        <v>29</v>
      </c>
      <c r="H23" s="4" t="s">
        <v>134</v>
      </c>
      <c r="I23" s="4" t="s">
        <v>135</v>
      </c>
      <c r="J23" s="4" t="s">
        <v>136</v>
      </c>
    </row>
    <row r="24" customFormat="false" ht="48" hidden="false" customHeight="true" outlineLevel="0" collapsed="false">
      <c r="A24" s="4" t="s">
        <v>137</v>
      </c>
      <c r="B24" s="5" t="s">
        <v>138</v>
      </c>
      <c r="C24" s="4" t="s">
        <v>105</v>
      </c>
      <c r="D24" s="4" t="s">
        <v>21</v>
      </c>
      <c r="E24" s="4" t="n">
        <v>2</v>
      </c>
      <c r="F24" s="4" t="s">
        <v>139</v>
      </c>
      <c r="G24" s="4" t="s">
        <v>29</v>
      </c>
      <c r="H24" s="4" t="s">
        <v>55</v>
      </c>
      <c r="I24" s="4" t="s">
        <v>140</v>
      </c>
      <c r="J24" s="4" t="s">
        <v>141</v>
      </c>
    </row>
    <row r="25" customFormat="false" ht="48" hidden="false" customHeight="true" outlineLevel="0" collapsed="false">
      <c r="A25" s="4" t="s">
        <v>142</v>
      </c>
      <c r="B25" s="5" t="s">
        <v>143</v>
      </c>
      <c r="C25" s="4" t="s">
        <v>105</v>
      </c>
      <c r="D25" s="4" t="s">
        <v>21</v>
      </c>
      <c r="E25" s="4" t="n">
        <v>2</v>
      </c>
      <c r="F25" s="4" t="s">
        <v>144</v>
      </c>
      <c r="G25" s="4" t="s">
        <v>29</v>
      </c>
      <c r="H25" s="4" t="s">
        <v>30</v>
      </c>
      <c r="I25" s="4" t="s">
        <v>145</v>
      </c>
      <c r="J25" s="4" t="s">
        <v>146</v>
      </c>
    </row>
    <row r="26" customFormat="false" ht="48" hidden="false" customHeight="true" outlineLevel="0" collapsed="false">
      <c r="A26" s="4" t="s">
        <v>147</v>
      </c>
      <c r="B26" s="5" t="s">
        <v>148</v>
      </c>
      <c r="C26" s="4" t="s">
        <v>105</v>
      </c>
      <c r="D26" s="4" t="s">
        <v>13</v>
      </c>
      <c r="E26" s="4" t="n">
        <v>2</v>
      </c>
      <c r="F26" s="4" t="s">
        <v>149</v>
      </c>
      <c r="G26" s="4" t="s">
        <v>36</v>
      </c>
      <c r="H26" s="4" t="s">
        <v>30</v>
      </c>
      <c r="I26" s="4" t="s">
        <v>150</v>
      </c>
      <c r="J26" s="4" t="s">
        <v>151</v>
      </c>
    </row>
    <row r="27" customFormat="false" ht="48" hidden="false" customHeight="true" outlineLevel="0" collapsed="false">
      <c r="A27" s="4" t="s">
        <v>152</v>
      </c>
      <c r="B27" s="5" t="s">
        <v>153</v>
      </c>
      <c r="C27" s="4" t="s">
        <v>105</v>
      </c>
      <c r="D27" s="4" t="s">
        <v>21</v>
      </c>
      <c r="E27" s="4" t="n">
        <v>1</v>
      </c>
      <c r="F27" s="4" t="s">
        <v>154</v>
      </c>
      <c r="G27" s="4" t="s">
        <v>29</v>
      </c>
      <c r="H27" s="4" t="s">
        <v>55</v>
      </c>
      <c r="I27" s="4" t="s">
        <v>155</v>
      </c>
      <c r="J27" s="4" t="s">
        <v>156</v>
      </c>
    </row>
    <row r="28" customFormat="false" ht="48" hidden="false" customHeight="true" outlineLevel="0" collapsed="false">
      <c r="A28" s="4" t="s">
        <v>157</v>
      </c>
      <c r="B28" s="5" t="s">
        <v>158</v>
      </c>
      <c r="C28" s="4" t="s">
        <v>105</v>
      </c>
      <c r="D28" s="4" t="s">
        <v>111</v>
      </c>
      <c r="E28" s="4" t="n">
        <v>2</v>
      </c>
      <c r="F28" s="4" t="s">
        <v>159</v>
      </c>
      <c r="G28" s="4" t="s">
        <v>36</v>
      </c>
      <c r="H28" s="4" t="s">
        <v>113</v>
      </c>
      <c r="I28" s="4" t="s">
        <v>160</v>
      </c>
      <c r="J28" s="4" t="s">
        <v>161</v>
      </c>
    </row>
    <row r="29" customFormat="false" ht="48" hidden="false" customHeight="true" outlineLevel="0" collapsed="false">
      <c r="A29" s="4" t="s">
        <v>162</v>
      </c>
      <c r="B29" s="5" t="s">
        <v>163</v>
      </c>
      <c r="C29" s="4" t="s">
        <v>105</v>
      </c>
      <c r="D29" s="4" t="s">
        <v>13</v>
      </c>
      <c r="E29" s="4" t="n">
        <v>2</v>
      </c>
      <c r="F29" s="4" t="s">
        <v>164</v>
      </c>
      <c r="G29" s="4" t="s">
        <v>36</v>
      </c>
      <c r="H29" s="4" t="s">
        <v>55</v>
      </c>
      <c r="I29" s="4" t="s">
        <v>165</v>
      </c>
      <c r="J29" s="4" t="s">
        <v>166</v>
      </c>
    </row>
    <row r="30" customFormat="false" ht="48" hidden="false" customHeight="true" outlineLevel="0" collapsed="false">
      <c r="A30" s="4" t="s">
        <v>167</v>
      </c>
      <c r="B30" s="5" t="s">
        <v>76</v>
      </c>
      <c r="C30" s="4" t="s">
        <v>105</v>
      </c>
      <c r="D30" s="4" t="s">
        <v>111</v>
      </c>
      <c r="E30" s="4" t="n">
        <v>2</v>
      </c>
      <c r="F30" s="4" t="s">
        <v>168</v>
      </c>
      <c r="G30" s="4" t="s">
        <v>36</v>
      </c>
      <c r="H30" s="4" t="s">
        <v>169</v>
      </c>
      <c r="I30" s="4" t="s">
        <v>170</v>
      </c>
      <c r="J30" s="4" t="s">
        <v>171</v>
      </c>
    </row>
    <row r="31" customFormat="false" ht="48" hidden="false" customHeight="true" outlineLevel="0" collapsed="false">
      <c r="A31" s="4" t="s">
        <v>172</v>
      </c>
      <c r="B31" s="5" t="s">
        <v>173</v>
      </c>
      <c r="C31" s="4" t="s">
        <v>105</v>
      </c>
      <c r="D31" s="4" t="s">
        <v>21</v>
      </c>
      <c r="E31" s="4" t="n">
        <v>2</v>
      </c>
      <c r="F31" s="4" t="s">
        <v>174</v>
      </c>
      <c r="G31" s="4" t="s">
        <v>36</v>
      </c>
      <c r="H31" s="4" t="s">
        <v>55</v>
      </c>
      <c r="I31" s="4" t="s">
        <v>175</v>
      </c>
      <c r="J31" s="4" t="s">
        <v>176</v>
      </c>
    </row>
    <row r="32" customFormat="false" ht="48" hidden="false" customHeight="true" outlineLevel="0" collapsed="false">
      <c r="A32" s="6" t="s">
        <v>177</v>
      </c>
      <c r="B32" s="7" t="s">
        <v>178</v>
      </c>
      <c r="C32" s="6" t="s">
        <v>179</v>
      </c>
      <c r="D32" s="6" t="s">
        <v>13</v>
      </c>
      <c r="E32" s="6" t="n">
        <v>2</v>
      </c>
      <c r="F32" s="6" t="s">
        <v>180</v>
      </c>
      <c r="G32" s="6" t="s">
        <v>29</v>
      </c>
      <c r="H32" s="6" t="s">
        <v>181</v>
      </c>
      <c r="I32" s="6" t="s">
        <v>182</v>
      </c>
      <c r="J32" s="6" t="s">
        <v>183</v>
      </c>
    </row>
    <row r="33" customFormat="false" ht="48" hidden="false" customHeight="true" outlineLevel="0" collapsed="false">
      <c r="A33" s="6" t="s">
        <v>184</v>
      </c>
      <c r="B33" s="7" t="s">
        <v>185</v>
      </c>
      <c r="C33" s="6" t="s">
        <v>179</v>
      </c>
      <c r="D33" s="6" t="s">
        <v>111</v>
      </c>
      <c r="E33" s="6" t="n">
        <v>3</v>
      </c>
      <c r="F33" s="6" t="s">
        <v>186</v>
      </c>
      <c r="G33" s="6" t="s">
        <v>36</v>
      </c>
      <c r="H33" s="6" t="s">
        <v>187</v>
      </c>
      <c r="I33" s="6" t="s">
        <v>188</v>
      </c>
      <c r="J33" s="6" t="s">
        <v>189</v>
      </c>
    </row>
    <row r="34" customFormat="false" ht="48" hidden="false" customHeight="true" outlineLevel="0" collapsed="false">
      <c r="A34" s="6" t="s">
        <v>190</v>
      </c>
      <c r="B34" s="7" t="s">
        <v>191</v>
      </c>
      <c r="C34" s="6" t="s">
        <v>179</v>
      </c>
      <c r="D34" s="6" t="s">
        <v>13</v>
      </c>
      <c r="E34" s="6" t="n">
        <v>3</v>
      </c>
      <c r="F34" s="6" t="s">
        <v>192</v>
      </c>
      <c r="G34" s="6" t="s">
        <v>36</v>
      </c>
      <c r="H34" s="6" t="s">
        <v>193</v>
      </c>
      <c r="I34" s="6" t="s">
        <v>194</v>
      </c>
      <c r="J34" s="6" t="s">
        <v>195</v>
      </c>
    </row>
    <row r="35" customFormat="false" ht="48" hidden="false" customHeight="true" outlineLevel="0" collapsed="false">
      <c r="A35" s="6" t="s">
        <v>196</v>
      </c>
      <c r="B35" s="7" t="s">
        <v>197</v>
      </c>
      <c r="C35" s="6" t="s">
        <v>179</v>
      </c>
      <c r="D35" s="6" t="s">
        <v>111</v>
      </c>
      <c r="E35" s="6" t="n">
        <v>2</v>
      </c>
      <c r="F35" s="6" t="s">
        <v>198</v>
      </c>
      <c r="G35" s="6" t="s">
        <v>43</v>
      </c>
      <c r="H35" s="6" t="s">
        <v>199</v>
      </c>
      <c r="I35" s="6" t="s">
        <v>200</v>
      </c>
      <c r="J35" s="6" t="s">
        <v>201</v>
      </c>
    </row>
    <row r="36" customFormat="false" ht="48" hidden="false" customHeight="true" outlineLevel="0" collapsed="false">
      <c r="A36" s="6" t="s">
        <v>202</v>
      </c>
      <c r="B36" s="7" t="s">
        <v>203</v>
      </c>
      <c r="C36" s="6" t="s">
        <v>179</v>
      </c>
      <c r="D36" s="6" t="s">
        <v>13</v>
      </c>
      <c r="E36" s="6" t="n">
        <v>3</v>
      </c>
      <c r="F36" s="6" t="s">
        <v>204</v>
      </c>
      <c r="G36" s="6" t="s">
        <v>36</v>
      </c>
      <c r="H36" s="6" t="s">
        <v>205</v>
      </c>
      <c r="I36" s="6" t="s">
        <v>206</v>
      </c>
      <c r="J36" s="6" t="s">
        <v>207</v>
      </c>
    </row>
    <row r="37" customFormat="false" ht="48" hidden="false" customHeight="true" outlineLevel="0" collapsed="false">
      <c r="A37" s="6" t="s">
        <v>208</v>
      </c>
      <c r="B37" s="7" t="s">
        <v>209</v>
      </c>
      <c r="C37" s="6" t="s">
        <v>179</v>
      </c>
      <c r="D37" s="6" t="s">
        <v>111</v>
      </c>
      <c r="E37" s="6" t="n">
        <v>3</v>
      </c>
      <c r="F37" s="6" t="s">
        <v>210</v>
      </c>
      <c r="G37" s="6" t="s">
        <v>43</v>
      </c>
      <c r="H37" s="6" t="s">
        <v>211</v>
      </c>
      <c r="I37" s="6" t="s">
        <v>212</v>
      </c>
      <c r="J37" s="6" t="s">
        <v>213</v>
      </c>
    </row>
    <row r="38" customFormat="false" ht="48" hidden="false" customHeight="true" outlineLevel="0" collapsed="false">
      <c r="A38" s="6" t="s">
        <v>214</v>
      </c>
      <c r="B38" s="7" t="s">
        <v>215</v>
      </c>
      <c r="C38" s="6" t="s">
        <v>179</v>
      </c>
      <c r="D38" s="6" t="s">
        <v>21</v>
      </c>
      <c r="E38" s="6" t="n">
        <v>2</v>
      </c>
      <c r="F38" s="6" t="s">
        <v>216</v>
      </c>
      <c r="G38" s="6" t="s">
        <v>36</v>
      </c>
      <c r="H38" s="6" t="s">
        <v>217</v>
      </c>
      <c r="I38" s="6" t="s">
        <v>218</v>
      </c>
      <c r="J38" s="6" t="s">
        <v>219</v>
      </c>
    </row>
    <row r="39" customFormat="false" ht="48" hidden="false" customHeight="true" outlineLevel="0" collapsed="false">
      <c r="A39" s="6" t="s">
        <v>220</v>
      </c>
      <c r="B39" s="7" t="s">
        <v>221</v>
      </c>
      <c r="C39" s="6" t="s">
        <v>179</v>
      </c>
      <c r="D39" s="6" t="s">
        <v>21</v>
      </c>
      <c r="E39" s="6" t="n">
        <v>3</v>
      </c>
      <c r="F39" s="6" t="s">
        <v>222</v>
      </c>
      <c r="G39" s="6" t="s">
        <v>36</v>
      </c>
      <c r="H39" s="6" t="s">
        <v>193</v>
      </c>
      <c r="I39" s="6" t="s">
        <v>223</v>
      </c>
      <c r="J39" s="6" t="s">
        <v>224</v>
      </c>
    </row>
    <row r="40" customFormat="false" ht="48" hidden="false" customHeight="true" outlineLevel="0" collapsed="false">
      <c r="A40" s="6" t="s">
        <v>225</v>
      </c>
      <c r="B40" s="7" t="s">
        <v>226</v>
      </c>
      <c r="C40" s="6" t="s">
        <v>179</v>
      </c>
      <c r="D40" s="6" t="s">
        <v>111</v>
      </c>
      <c r="E40" s="6" t="n">
        <v>2</v>
      </c>
      <c r="F40" s="6" t="s">
        <v>227</v>
      </c>
      <c r="G40" s="6" t="s">
        <v>29</v>
      </c>
      <c r="H40" s="6" t="s">
        <v>169</v>
      </c>
      <c r="I40" s="6" t="s">
        <v>228</v>
      </c>
      <c r="J40" s="6" t="s">
        <v>229</v>
      </c>
    </row>
    <row r="41" customFormat="false" ht="48" hidden="false" customHeight="true" outlineLevel="0" collapsed="false">
      <c r="A41" s="6" t="s">
        <v>230</v>
      </c>
      <c r="B41" s="7" t="s">
        <v>231</v>
      </c>
      <c r="C41" s="6" t="s">
        <v>179</v>
      </c>
      <c r="D41" s="6" t="s">
        <v>13</v>
      </c>
      <c r="E41" s="6" t="n">
        <v>3</v>
      </c>
      <c r="F41" s="6" t="s">
        <v>232</v>
      </c>
      <c r="G41" s="6" t="s">
        <v>43</v>
      </c>
      <c r="H41" s="6" t="s">
        <v>193</v>
      </c>
      <c r="I41" s="6" t="s">
        <v>233</v>
      </c>
      <c r="J41" s="6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8" t="s">
        <v>235</v>
      </c>
    </row>
    <row r="3" customFormat="false" ht="15" hidden="false" customHeight="false" outlineLevel="0" collapsed="false">
      <c r="A3" s="9" t="s">
        <v>2</v>
      </c>
      <c r="B3" s="9" t="s">
        <v>236</v>
      </c>
      <c r="C3" s="9" t="s">
        <v>237</v>
      </c>
      <c r="D3" s="9" t="s">
        <v>3</v>
      </c>
      <c r="E3" s="9" t="s">
        <v>236</v>
      </c>
    </row>
    <row r="4" customFormat="false" ht="15" hidden="false" customHeight="false" outlineLevel="0" collapsed="false">
      <c r="A4" s="10" t="s">
        <v>12</v>
      </c>
      <c r="B4" s="10" t="n">
        <f aca="false">COUNTIF('Warp Riders Cards'!C:C,"Common")</f>
        <v>16</v>
      </c>
      <c r="C4" s="10" t="s">
        <v>238</v>
      </c>
      <c r="D4" s="11" t="s">
        <v>13</v>
      </c>
      <c r="E4" s="11" t="n">
        <f aca="false">COUNTIF('Warp Riders Cards'!D:D,"Attack")</f>
        <v>14</v>
      </c>
    </row>
    <row r="5" customFormat="false" ht="15" hidden="false" customHeight="false" outlineLevel="0" collapsed="false">
      <c r="A5" s="12" t="s">
        <v>105</v>
      </c>
      <c r="B5" s="12" t="n">
        <f aca="false">COUNTIF('Warp Riders Cards'!C:C,"Uncommon")</f>
        <v>14</v>
      </c>
      <c r="C5" s="12" t="s">
        <v>239</v>
      </c>
      <c r="D5" s="11" t="s">
        <v>21</v>
      </c>
      <c r="E5" s="11" t="n">
        <f aca="false">COUNTIF('Warp Riders Cards'!D:D,"Skill")</f>
        <v>19</v>
      </c>
    </row>
    <row r="6" customFormat="false" ht="15" hidden="false" customHeight="false" outlineLevel="0" collapsed="false">
      <c r="A6" s="13" t="s">
        <v>179</v>
      </c>
      <c r="B6" s="13" t="n">
        <f aca="false">COUNTIF('Warp Riders Cards'!C:C,"Rare")</f>
        <v>10</v>
      </c>
      <c r="C6" s="13" t="s">
        <v>240</v>
      </c>
      <c r="D6" s="11" t="s">
        <v>111</v>
      </c>
      <c r="E6" s="11" t="n">
        <f aca="false">COUNTIF('Warp Riders Cards'!D:D,"Power")</f>
        <v>7</v>
      </c>
    </row>
    <row r="7" customFormat="false" ht="15" hidden="false" customHeight="false" outlineLevel="0" collapsed="false">
      <c r="A7" s="14" t="s">
        <v>241</v>
      </c>
      <c r="B7" s="14" t="n">
        <f aca="false">SUM(B4:B6)</f>
        <v>40</v>
      </c>
    </row>
    <row r="10" customFormat="false" ht="15" hidden="false" customHeight="false" outlineLevel="0" collapsed="false">
      <c r="A10" s="9" t="s">
        <v>6</v>
      </c>
      <c r="B10" s="9" t="s">
        <v>242</v>
      </c>
      <c r="D10" s="9" t="s">
        <v>4</v>
      </c>
      <c r="E10" s="9" t="s">
        <v>236</v>
      </c>
    </row>
    <row r="11" customFormat="false" ht="15" hidden="false" customHeight="false" outlineLevel="0" collapsed="false">
      <c r="A11" s="11" t="s">
        <v>36</v>
      </c>
      <c r="B11" s="11" t="n">
        <f aca="false">COUNTIF('Warp Riders Cards'!G:G,"Chaos Storm")</f>
        <v>19</v>
      </c>
      <c r="D11" s="11" t="n">
        <v>0</v>
      </c>
      <c r="E11" s="11" t="n">
        <f aca="false">COUNTIF('Warp Riders Cards'!E:E,0)</f>
        <v>2</v>
      </c>
    </row>
    <row r="12" customFormat="false" ht="15" hidden="false" customHeight="false" outlineLevel="0" collapsed="false">
      <c r="A12" s="11" t="s">
        <v>29</v>
      </c>
      <c r="B12" s="11" t="n">
        <f aca="false">COUNTIF('Warp Riders Cards'!G:G,"Precision Phase")</f>
        <v>11</v>
      </c>
      <c r="D12" s="11" t="n">
        <v>1</v>
      </c>
      <c r="E12" s="11" t="n">
        <f aca="false">COUNTIF('Warp Riders Cards'!E:E,1)</f>
        <v>16</v>
      </c>
    </row>
    <row r="13" customFormat="false" ht="15" hidden="false" customHeight="false" outlineLevel="0" collapsed="false">
      <c r="A13" s="11" t="s">
        <v>43</v>
      </c>
      <c r="B13" s="11" t="n">
        <f aca="false">COUNTIF('Warp Riders Cards'!G:G,"Rift Architect")</f>
        <v>8</v>
      </c>
      <c r="D13" s="11" t="n">
        <v>2</v>
      </c>
      <c r="E13" s="11" t="n">
        <f aca="false">COUNTIF('Warp Riders Cards'!E:E,2)</f>
        <v>16</v>
      </c>
    </row>
    <row r="14" customFormat="false" ht="15" hidden="false" customHeight="false" outlineLevel="0" collapsed="false">
      <c r="A14" s="11" t="s">
        <v>15</v>
      </c>
      <c r="B14" s="11" t="n">
        <f aca="false">COUNTIF('Warp Riders Cards'!G:G,"Basic")</f>
        <v>2</v>
      </c>
      <c r="D14" s="11" t="n">
        <v>3</v>
      </c>
      <c r="E14" s="11" t="n">
        <f aca="false">COUNTIF('Warp Riders Cards'!E:E,3)</f>
        <v>6</v>
      </c>
    </row>
    <row r="18" customFormat="false" ht="15" hidden="false" customHeight="false" outlineLevel="0" collapsed="false">
      <c r="A18" s="15" t="s">
        <v>243</v>
      </c>
      <c r="B18" s="15" t="n">
        <f aca="false">COUNTIF('Warp Riders Cards'!F:F,"*Flux.*")</f>
        <v>8</v>
      </c>
    </row>
    <row r="19" customFormat="false" ht="15" hidden="false" customHeight="false" outlineLevel="0" collapsed="false">
      <c r="A19" s="15" t="s">
        <v>244</v>
      </c>
      <c r="B19" s="15" t="n">
        <f aca="false">COUNTIF('Warp Riders Cards'!F:F,"*Rift*")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8" t="s">
        <v>245</v>
      </c>
    </row>
    <row r="3" customFormat="false" ht="15" hidden="false" customHeight="false" outlineLevel="0" collapsed="false">
      <c r="A3" s="9" t="s">
        <v>236</v>
      </c>
      <c r="B3" s="9" t="s">
        <v>246</v>
      </c>
      <c r="C3" s="9" t="s">
        <v>2</v>
      </c>
      <c r="D3" s="9" t="s">
        <v>4</v>
      </c>
      <c r="E3" s="9" t="s">
        <v>5</v>
      </c>
    </row>
    <row r="4" customFormat="false" ht="39.75" hidden="false" customHeight="true" outlineLevel="0" collapsed="false">
      <c r="A4" s="16" t="n">
        <v>5</v>
      </c>
      <c r="B4" s="16" t="s">
        <v>11</v>
      </c>
      <c r="C4" s="16" t="s">
        <v>15</v>
      </c>
      <c r="D4" s="16" t="n">
        <v>1</v>
      </c>
      <c r="E4" s="16" t="s">
        <v>247</v>
      </c>
    </row>
    <row r="5" customFormat="false" ht="39.75" hidden="false" customHeight="true" outlineLevel="0" collapsed="false">
      <c r="A5" s="16" t="n">
        <v>4</v>
      </c>
      <c r="B5" s="16" t="s">
        <v>20</v>
      </c>
      <c r="C5" s="16" t="s">
        <v>15</v>
      </c>
      <c r="D5" s="16" t="n">
        <v>1</v>
      </c>
      <c r="E5" s="16" t="s">
        <v>248</v>
      </c>
    </row>
    <row r="6" customFormat="false" ht="39.75" hidden="false" customHeight="true" outlineLevel="0" collapsed="false">
      <c r="A6" s="16" t="n">
        <v>1</v>
      </c>
      <c r="B6" s="16" t="s">
        <v>249</v>
      </c>
      <c r="C6" s="16" t="s">
        <v>250</v>
      </c>
      <c r="D6" s="16" t="s">
        <v>251</v>
      </c>
      <c r="E6" s="16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8" t="s">
        <v>253</v>
      </c>
    </row>
    <row r="3" customFormat="false" ht="15" hidden="false" customHeight="false" outlineLevel="0" collapsed="false">
      <c r="A3" s="9" t="s">
        <v>254</v>
      </c>
      <c r="B3" s="9" t="s">
        <v>255</v>
      </c>
      <c r="C3" s="9" t="s">
        <v>256</v>
      </c>
    </row>
    <row r="4" customFormat="false" ht="54.75" hidden="false" customHeight="true" outlineLevel="0" collapsed="false">
      <c r="A4" s="17" t="s">
        <v>257</v>
      </c>
      <c r="B4" s="18" t="s">
        <v>258</v>
      </c>
      <c r="C4" s="18" t="s">
        <v>259</v>
      </c>
    </row>
    <row r="5" customFormat="false" ht="54.75" hidden="false" customHeight="true" outlineLevel="0" collapsed="false">
      <c r="A5" s="17" t="s">
        <v>260</v>
      </c>
      <c r="B5" s="18" t="s">
        <v>261</v>
      </c>
      <c r="C5" s="18" t="s">
        <v>262</v>
      </c>
    </row>
    <row r="6" customFormat="false" ht="54.75" hidden="false" customHeight="true" outlineLevel="0" collapsed="false">
      <c r="A6" s="17" t="s">
        <v>263</v>
      </c>
      <c r="B6" s="18" t="s">
        <v>264</v>
      </c>
      <c r="C6" s="18" t="s">
        <v>265</v>
      </c>
    </row>
    <row r="7" customFormat="false" ht="54.75" hidden="false" customHeight="true" outlineLevel="0" collapsed="false">
      <c r="A7" s="17" t="s">
        <v>266</v>
      </c>
      <c r="B7" s="18" t="s">
        <v>267</v>
      </c>
      <c r="C7" s="18" t="s">
        <v>268</v>
      </c>
    </row>
    <row r="8" customFormat="false" ht="54.75" hidden="false" customHeight="true" outlineLevel="0" collapsed="false">
      <c r="A8" s="17" t="s">
        <v>269</v>
      </c>
      <c r="B8" s="18" t="s">
        <v>270</v>
      </c>
      <c r="C8" s="18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8" t="s">
        <v>272</v>
      </c>
    </row>
    <row r="3" customFormat="false" ht="15" hidden="false" customHeight="false" outlineLevel="0" collapsed="false">
      <c r="A3" s="9" t="s">
        <v>246</v>
      </c>
      <c r="B3" s="9" t="s">
        <v>2</v>
      </c>
      <c r="C3" s="9" t="s">
        <v>273</v>
      </c>
      <c r="D3" s="9" t="s">
        <v>274</v>
      </c>
      <c r="E3" s="9" t="s">
        <v>275</v>
      </c>
    </row>
    <row r="4" customFormat="false" ht="37.5" hidden="false" customHeight="true" outlineLevel="0" collapsed="false">
      <c r="A4" s="19" t="s">
        <v>11</v>
      </c>
      <c r="B4" s="20" t="s">
        <v>12</v>
      </c>
      <c r="C4" s="20" t="s">
        <v>276</v>
      </c>
      <c r="D4" s="20" t="s">
        <v>277</v>
      </c>
      <c r="E4" s="20" t="s">
        <v>278</v>
      </c>
    </row>
    <row r="5" customFormat="false" ht="37.5" hidden="false" customHeight="true" outlineLevel="0" collapsed="false">
      <c r="A5" s="19" t="s">
        <v>20</v>
      </c>
      <c r="B5" s="20" t="s">
        <v>12</v>
      </c>
      <c r="C5" s="20" t="s">
        <v>279</v>
      </c>
      <c r="D5" s="20" t="s">
        <v>280</v>
      </c>
      <c r="E5" s="20" t="s">
        <v>281</v>
      </c>
    </row>
    <row r="6" customFormat="false" ht="37.5" hidden="false" customHeight="true" outlineLevel="0" collapsed="false">
      <c r="A6" s="19" t="s">
        <v>59</v>
      </c>
      <c r="B6" s="20" t="s">
        <v>12</v>
      </c>
      <c r="C6" s="20" t="s">
        <v>277</v>
      </c>
      <c r="D6" s="20" t="s">
        <v>282</v>
      </c>
      <c r="E6" s="20" t="s">
        <v>283</v>
      </c>
    </row>
    <row r="7" customFormat="false" ht="37.5" hidden="false" customHeight="true" outlineLevel="0" collapsed="false">
      <c r="A7" s="19" t="s">
        <v>84</v>
      </c>
      <c r="B7" s="20" t="s">
        <v>12</v>
      </c>
      <c r="C7" s="20" t="s">
        <v>284</v>
      </c>
      <c r="D7" s="20" t="s">
        <v>285</v>
      </c>
      <c r="E7" s="20" t="s">
        <v>286</v>
      </c>
    </row>
    <row r="8" customFormat="false" ht="37.5" hidden="false" customHeight="true" outlineLevel="0" collapsed="false">
      <c r="A8" s="19" t="s">
        <v>94</v>
      </c>
      <c r="B8" s="20" t="s">
        <v>12</v>
      </c>
      <c r="C8" s="20" t="s">
        <v>279</v>
      </c>
      <c r="D8" s="20" t="s">
        <v>287</v>
      </c>
      <c r="E8" s="20" t="s">
        <v>288</v>
      </c>
    </row>
    <row r="9" customFormat="false" ht="37.5" hidden="false" customHeight="true" outlineLevel="0" collapsed="false">
      <c r="A9" s="21" t="s">
        <v>143</v>
      </c>
      <c r="B9" s="22" t="s">
        <v>105</v>
      </c>
      <c r="C9" s="22" t="s">
        <v>289</v>
      </c>
      <c r="D9" s="22" t="s">
        <v>290</v>
      </c>
      <c r="E9" s="22" t="s">
        <v>291</v>
      </c>
    </row>
    <row r="10" customFormat="false" ht="37.5" hidden="false" customHeight="true" outlineLevel="0" collapsed="false">
      <c r="A10" s="21" t="s">
        <v>148</v>
      </c>
      <c r="B10" s="22" t="s">
        <v>105</v>
      </c>
      <c r="C10" s="22" t="s">
        <v>292</v>
      </c>
      <c r="D10" s="22" t="s">
        <v>293</v>
      </c>
      <c r="E10" s="22" t="s">
        <v>294</v>
      </c>
    </row>
    <row r="11" customFormat="false" ht="37.5" hidden="false" customHeight="true" outlineLevel="0" collapsed="false">
      <c r="A11" s="21" t="s">
        <v>76</v>
      </c>
      <c r="B11" s="22" t="s">
        <v>105</v>
      </c>
      <c r="C11" s="22" t="s">
        <v>295</v>
      </c>
      <c r="D11" s="22" t="s">
        <v>296</v>
      </c>
      <c r="E11" s="22" t="s">
        <v>297</v>
      </c>
    </row>
    <row r="14" customFormat="false" ht="15" hidden="false" customHeight="false" outlineLevel="0" collapsed="false">
      <c r="A14" s="23" t="s">
        <v>298</v>
      </c>
    </row>
    <row r="16" customFormat="false" ht="15" hidden="false" customHeight="false" outlineLevel="0" collapsed="false">
      <c r="A16" s="9" t="s">
        <v>299</v>
      </c>
      <c r="B16" s="9" t="s">
        <v>300</v>
      </c>
      <c r="C16" s="9" t="s">
        <v>5</v>
      </c>
      <c r="D16" s="9" t="s">
        <v>301</v>
      </c>
    </row>
    <row r="17" customFormat="false" ht="30" hidden="false" customHeight="true" outlineLevel="0" collapsed="false">
      <c r="A17" s="24" t="s">
        <v>302</v>
      </c>
      <c r="B17" s="16" t="s">
        <v>303</v>
      </c>
      <c r="C17" s="16" t="s">
        <v>304</v>
      </c>
      <c r="D17" s="16" t="s">
        <v>99</v>
      </c>
    </row>
    <row r="18" customFormat="false" ht="30" hidden="false" customHeight="true" outlineLevel="0" collapsed="false">
      <c r="A18" s="24" t="s">
        <v>305</v>
      </c>
      <c r="B18" s="16" t="s">
        <v>105</v>
      </c>
      <c r="C18" s="16" t="s">
        <v>306</v>
      </c>
      <c r="D18" s="16" t="s">
        <v>307</v>
      </c>
    </row>
    <row r="19" customFormat="false" ht="30" hidden="false" customHeight="true" outlineLevel="0" collapsed="false">
      <c r="A19" s="24" t="s">
        <v>308</v>
      </c>
      <c r="B19" s="16" t="s">
        <v>105</v>
      </c>
      <c r="C19" s="16" t="s">
        <v>309</v>
      </c>
      <c r="D19" s="16" t="s">
        <v>307</v>
      </c>
    </row>
    <row r="20" customFormat="false" ht="30" hidden="false" customHeight="true" outlineLevel="0" collapsed="false">
      <c r="A20" s="24" t="s">
        <v>310</v>
      </c>
      <c r="B20" s="16" t="s">
        <v>105</v>
      </c>
      <c r="C20" s="16" t="s">
        <v>311</v>
      </c>
      <c r="D20" s="16" t="s">
        <v>307</v>
      </c>
    </row>
    <row r="21" customFormat="false" ht="30" hidden="false" customHeight="true" outlineLevel="0" collapsed="false">
      <c r="A21" s="24" t="s">
        <v>312</v>
      </c>
      <c r="B21" s="16" t="s">
        <v>179</v>
      </c>
      <c r="C21" s="16" t="s">
        <v>313</v>
      </c>
      <c r="D21" s="16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2026-04-22T15:56:10Z</dcterms:created>
  <dc:creator>openpyxl</dc:creator>
  <dc:description/>
  <dc:language>en-US</dc:language>
  <cp:lastModifiedBy/>
  <dcterms:modified xsi:type="dcterms:W3CDTF">2026-04-22T15:56:10Z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